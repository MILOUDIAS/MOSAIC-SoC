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shboard" sheetId="1" state="visible" r:id="rId1"/>
    <sheet name="Tasks" sheetId="2" state="visible" r:id="rId2"/>
    <sheet name="Chipathon Schedule" sheetId="3" state="visible" r:id="rId3"/>
    <sheet name="Risks" sheetId="4" state="visible" r:id="rId4"/>
    <sheet name="Weekly Repo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color theme="1"/>
      <sz val="11"/>
      <scheme val="minor"/>
    </font>
    <font>
      <name val="Roboto"/>
      <color theme="1"/>
    </font>
    <font>
      <name val="Roboto"/>
      <b val="1"/>
      <color rgb="FFFFFFFF"/>
      <sz val="18"/>
    </font>
    <font/>
    <font>
      <name val="Roboto"/>
      <i val="1"/>
      <color rgb="FFFFFFFF"/>
      <sz val="12"/>
    </font>
    <font>
      <name val="Roboto"/>
      <b val="1"/>
      <color rgb="FFFFFFFF"/>
      <sz val="12"/>
    </font>
    <font>
      <name val="Roboto"/>
      <b val="1"/>
      <color rgb="FF5F6368"/>
      <sz val="11"/>
    </font>
    <font>
      <name val="Roboto"/>
      <b val="1"/>
      <color theme="1"/>
      <sz val="14"/>
    </font>
    <font>
      <name val="Roboto"/>
      <b val="1"/>
      <color rgb="FF0D652D"/>
      <sz val="14"/>
    </font>
    <font>
      <name val="Roboto"/>
      <b val="1"/>
      <color rgb="FFB06000"/>
      <sz val="14"/>
    </font>
    <font>
      <name val="Roboto"/>
      <b val="1"/>
      <color rgb="FFA50E0E"/>
      <sz val="14"/>
    </font>
    <font>
      <name val="Roboto"/>
      <b val="1"/>
      <color rgb="FF5F6368"/>
      <sz val="14"/>
    </font>
    <font>
      <name val="Roboto"/>
      <b val="1"/>
      <color rgb="FF202124"/>
      <sz val="11"/>
    </font>
    <font>
      <name val="Roboto"/>
      <color theme="1"/>
      <sz val="11"/>
    </font>
    <font>
      <name val="Roboto"/>
      <b val="1"/>
      <color rgb="FF0D652D"/>
      <sz val="11"/>
    </font>
    <font>
      <name val="Roboto"/>
      <color rgb="FF5F6368"/>
      <sz val="11"/>
    </font>
    <font>
      <name val="Roboto"/>
      <i val="1"/>
      <color rgb="FF73777E"/>
      <sz val="9"/>
    </font>
    <font>
      <name val="Arial"/>
      <b val="1"/>
      <color rgb="FFFFFFFF"/>
      <sz val="18"/>
    </font>
    <font>
      <name val="Calibri"/>
      <color theme="1"/>
      <sz val="18"/>
      <scheme val="minor"/>
    </font>
    <font>
      <name val="Arial"/>
      <i val="1"/>
      <color rgb="FF5F6368"/>
      <sz val="12"/>
    </font>
    <font>
      <name val="Calibri"/>
      <color theme="1"/>
      <sz val="12"/>
      <scheme val="minor"/>
    </font>
    <font>
      <name val="Roboto"/>
      <color rgb="FF202124"/>
      <sz val="11"/>
    </font>
    <font>
      <name val="Roboto"/>
      <b val="1"/>
      <color rgb="FFB06000"/>
      <sz val="11"/>
    </font>
    <font>
      <name val="Roboto"/>
      <b val="1"/>
      <color rgb="FFA50E0E"/>
      <sz val="11"/>
    </font>
  </fonts>
  <fills count="5">
    <fill>
      <patternFill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E8EAED"/>
        <bgColor rgb="FFE8EAED"/>
      </patternFill>
    </fill>
    <fill>
      <patternFill patternType="solid">
        <fgColor rgb="FF185ABC"/>
        <bgColor rgb="FF185ABC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BDC1C6"/>
      </left>
      <right style="thin">
        <color rgb="FFBDC1C6"/>
      </right>
      <top style="thin">
        <color rgb="FFBDC1C6"/>
      </top>
      <bottom style="thin">
        <color rgb="FFBDC1C6"/>
      </bottom>
    </border>
    <border>
      <bottom style="thin">
        <color rgb="FFE8EAED"/>
      </bottom>
    </border>
    <border>
      <left/>
      <right/>
      <top/>
      <bottom/>
    </border>
    <border>
      <left/>
      <right/>
      <top/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 vertical="center"/>
    </xf>
    <xf numFmtId="0" fontId="3" fillId="0" borderId="5" pivotButton="0" quotePrefix="0" xfId="0"/>
    <xf numFmtId="0" fontId="3" fillId="0" borderId="6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4" borderId="1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  <xf numFmtId="0" fontId="13" fillId="0" borderId="0" pivotButton="0" quotePrefix="0" xfId="0"/>
    <xf numFmtId="0" fontId="23" fillId="0" borderId="0" pivotButton="0" quotePrefix="0" xfId="0"/>
    <xf numFmtId="0" fontId="1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" fillId="2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left" vertical="center"/>
    </xf>
    <xf numFmtId="0" fontId="5" fillId="2" borderId="10" applyAlignment="1" pivotButton="0" quotePrefix="0" xfId="0">
      <alignment horizontal="left" vertical="center"/>
    </xf>
    <xf numFmtId="0" fontId="17" fillId="4" borderId="10" applyAlignment="1" pivotButton="0" quotePrefix="0" xfId="0">
      <alignment horizontal="left" vertical="center"/>
    </xf>
    <xf numFmtId="0" fontId="21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  <color rgb="FF003724"/>
      </font>
      <fill>
        <patternFill patternType="solid">
          <fgColor rgb="FF3FBF8B"/>
          <bgColor rgb="FF3FBF8B"/>
        </patternFill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</dxfs>
  <tableStyles count="5" defaultTableStyle="TableStyleMedium9" defaultPivotStyle="PivotStyleLight16">
    <tableStyle name="Dashboard-style" pivot="0" count="3">
      <tableStyleElement type="headerRow" dxfId="1"/>
      <tableStyleElement type="firstRowStripe" dxfId="2"/>
      <tableStyleElement type="secondRowStripe" dxfId="3"/>
    </tableStyle>
    <tableStyle name="Tasks-style" pivot="0" count="3">
      <tableStyleElement type="headerRow" dxfId="5"/>
      <tableStyleElement type="firstRowStripe" dxfId="6"/>
      <tableStyleElement type="secondRowStripe" dxfId="3"/>
    </tableStyle>
    <tableStyle name="Chipathon Schedule-style" pivot="0" count="3">
      <tableStyleElement type="headerRow" dxfId="5"/>
      <tableStyleElement type="firstRowStripe" dxfId="6"/>
      <tableStyleElement type="secondRowStripe" dxfId="3"/>
    </tableStyle>
    <tableStyle name="Risks-style" pivot="0" count="3">
      <tableStyleElement type="headerRow" dxfId="5"/>
      <tableStyleElement type="firstRowStripe" dxfId="6"/>
      <tableStyleElement type="secondRowStripe" dxfId="3"/>
    </tableStyle>
    <tableStyle name="Weekly Reports-style" pivot="0" count="3">
      <tableStyleElement type="headerRow" dxfId="5"/>
      <tableStyleElement type="firstRowStripe" dxfId="6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_1" displayName="Table_1" ref="B11:G19" headerRowCount="1">
  <tableColumns count="6">
    <tableColumn id="1" name="#"/>
    <tableColumn id="2" name="Milestone"/>
    <tableColumn id="3" name="Target Date"/>
    <tableColumn id="4" name="Week"/>
    <tableColumn id="5" name="Gate"/>
    <tableColumn id="6" name="Status"/>
  </tableColumns>
  <tableStyleInfo name="Dashboard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:H41" headerRowCount="1">
  <tableColumns count="8">
    <tableColumn id="1" name="Phase"/>
    <tableColumn id="2" name="Task"/>
    <tableColumn id="3" name="Owner"/>
    <tableColumn id="4" name="Week"/>
    <tableColumn id="5" name="Status"/>
    <tableColumn id="6" name="Start"/>
    <tableColumn id="7" name="Due"/>
    <tableColumn id="8" name="Notes / Deliverable"/>
  </tableColumns>
  <tableStyleInfo name="Task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4:F22" headerRowCount="1">
  <tableColumns count="6">
    <tableColumn id="1" name="Week"/>
    <tableColumn id="2" name="Date"/>
    <tableColumn id="3" name="Official Event"/>
    <tableColumn id="4" name="Phase"/>
    <tableColumn id="5" name="Our Track D Equivalent / Action"/>
    <tableColumn id="6" name="Our Milestone"/>
  </tableColumns>
  <tableStyleInfo name="Chipathon Schedule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4:E11" headerRowCount="1">
  <tableColumns count="5">
    <tableColumn id="1" name="Risk"/>
    <tableColumn id="2" name="Likelihood"/>
    <tableColumn id="3" name="Decision Trigger"/>
    <tableColumn id="4" name="Mitigation"/>
    <tableColumn id="5" name="Status"/>
  </tableColumns>
  <tableStyleInfo name="Risk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4:F16" headerRowCount="1">
  <tableColumns count="6">
    <tableColumn id="1" name="Week"/>
    <tableColumn id="2" name="Wed Date"/>
    <tableColumn id="3" name="Submitted?"/>
    <tableColumn id="4" name="Done this week"/>
    <tableColumn id="5" name="Blockers"/>
    <tableColumn id="6" name="Next week"/>
  </tableColumns>
  <tableStyleInfo name="Weekly Repor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33" min="1" max="1"/>
    <col width="14.43" customWidth="1" style="33" min="2" max="2"/>
    <col width="71.56999999999999" customWidth="1" style="33" min="3" max="3"/>
    <col width="28.71" customWidth="1" style="33" min="4" max="4"/>
    <col width="21.57" customWidth="1" style="33" min="5" max="5"/>
    <col width="28.71" customWidth="1" style="33" min="6" max="6"/>
    <col width="46" customWidth="1" style="33" min="7" max="7"/>
    <col width="8.710000000000001" customWidth="1" style="33" min="8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60" customHeight="1" s="33">
      <c r="A2" s="1" t="n"/>
      <c r="B2" s="38" t="inlineStr">
        <is>
          <t>MOSAIC-SoC — Project Dashboard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60" customHeight="1" s="33">
      <c r="A3" s="1" t="n"/>
      <c r="B3" s="5" t="inlineStr">
        <is>
          <t>IEEE SSCS Chipathon 2026 · Track D · Team D15 JustVibeAndTapeout · github.com/MILOUDIAS/MOSAIC-SoC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45" customHeight="1" s="33">
      <c r="A5" s="1" t="n"/>
      <c r="B5" s="39" t="inlineStr">
        <is>
          <t>OVERALL PROGRESS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5" customHeight="1" s="33">
      <c r="A6" s="1" t="n"/>
      <c r="B6" s="9" t="inlineStr">
        <is>
          <t>Total Tasks</t>
        </is>
      </c>
      <c r="C6" s="9" t="inlineStr">
        <is>
          <t>Tasks Complete</t>
        </is>
      </c>
      <c r="D6" s="9" t="inlineStr">
        <is>
          <t>% Complete</t>
        </is>
      </c>
      <c r="E6" s="9" t="inlineStr">
        <is>
          <t>In Progress</t>
        </is>
      </c>
      <c r="F6" s="9" t="inlineStr">
        <is>
          <t>Blocked</t>
        </is>
      </c>
      <c r="G6" s="9" t="inlineStr">
        <is>
          <t>Not Started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60" customHeight="1" s="33">
      <c r="A7" s="1" t="n"/>
      <c r="B7" s="10">
        <f>COUNTA(Tasks!E5:E100)</f>
        <v/>
      </c>
      <c r="C7" s="11">
        <f>COUNTIF(Tasks!E5:E100, "Done")</f>
        <v/>
      </c>
      <c r="D7" s="12">
        <f>IF(B7&gt;0, C7/B7, 0)</f>
        <v/>
      </c>
      <c r="E7" s="13">
        <f>COUNTIF(Tasks!E5:E100, "In Progress")</f>
        <v/>
      </c>
      <c r="F7" s="14">
        <f>COUNTIF(Tasks!E5:E100, "Blocked")</f>
        <v/>
      </c>
      <c r="G7" s="15">
        <f>COUNTIF(Tasks!E5:E100, "Not Started")</f>
        <v/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45" customHeight="1" s="33">
      <c r="A10" s="1" t="n"/>
      <c r="B10" s="40" t="inlineStr">
        <is>
          <t>KEY MILESTONES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5" customHeight="1" s="33">
      <c r="A11" s="1" t="n"/>
      <c r="B11" s="17" t="inlineStr">
        <is>
          <t>#</t>
        </is>
      </c>
      <c r="C11" s="18" t="inlineStr">
        <is>
          <t>Milestone</t>
        </is>
      </c>
      <c r="D11" s="17" t="inlineStr">
        <is>
          <t>Target Date</t>
        </is>
      </c>
      <c r="E11" s="17" t="inlineStr">
        <is>
          <t>Week</t>
        </is>
      </c>
      <c r="F11" s="17" t="inlineStr">
        <is>
          <t>Gate</t>
        </is>
      </c>
      <c r="G11" s="17" t="inlineStr">
        <is>
          <t>Status (2026-08-02)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45" customHeight="1" s="33">
      <c r="A12" s="1" t="n"/>
      <c r="B12" s="19" t="inlineStr">
        <is>
          <t>M0</t>
        </is>
      </c>
      <c r="C12" s="20" t="inlineStr">
        <is>
          <t>Proposal accepted, team locked</t>
        </is>
      </c>
      <c r="D12" s="19" t="inlineStr">
        <is>
          <t>Jun 12</t>
        </is>
      </c>
      <c r="E12" s="19" t="inlineStr">
        <is>
          <t>W24</t>
        </is>
      </c>
      <c r="F12" s="19" t="inlineStr">
        <is>
          <t>Done</t>
        </is>
      </c>
      <c r="G12" s="19" t="inlineStr">
        <is>
          <t>Done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5" customHeight="1" s="33">
      <c r="A13" s="1" t="n"/>
      <c r="B13" s="19" t="inlineStr">
        <is>
          <t>M1</t>
        </is>
      </c>
      <c r="C13" s="20" t="inlineStr">
        <is>
          <t>Environment + schema + SCI wrappers pass formal</t>
        </is>
      </c>
      <c r="D13" s="19" t="inlineStr">
        <is>
          <t>Jun 26</t>
        </is>
      </c>
      <c r="E13" s="19" t="inlineStr">
        <is>
          <t>W26</t>
        </is>
      </c>
      <c r="F13" s="19" t="inlineStr">
        <is>
          <t>Internal</t>
        </is>
      </c>
      <c r="G13" s="19" t="inlineStr">
        <is>
          <t>Done</t>
        </is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5" customHeight="1" s="33">
      <c r="A14" s="1" t="n"/>
      <c r="B14" s="19" t="inlineStr">
        <is>
          <t>M2</t>
        </is>
      </c>
      <c r="C14" s="20" t="inlineStr">
        <is>
          <t>RTL elaboration review (config → RTL)</t>
        </is>
      </c>
      <c r="D14" s="19" t="inlineStr">
        <is>
          <t>Jul 3</t>
        </is>
      </c>
      <c r="E14" s="19" t="inlineStr">
        <is>
          <t>W27</t>
        </is>
      </c>
      <c r="F14" s="19" t="inlineStr">
        <is>
          <t>Review</t>
        </is>
      </c>
      <c r="G14" s="19" t="inlineStr">
        <is>
          <t>Done</t>
        </is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" customHeight="1" s="33">
      <c r="A15" s="1" t="n"/>
      <c r="B15" s="19" t="inlineStr">
        <is>
          <t>M3</t>
        </is>
      </c>
      <c r="C15" s="20" t="inlineStr">
        <is>
          <t>Per-core verification clean</t>
        </is>
      </c>
      <c r="D15" s="19" t="inlineStr">
        <is>
          <t>Jul 10</t>
        </is>
      </c>
      <c r="E15" s="19" t="inlineStr">
        <is>
          <t>W28</t>
        </is>
      </c>
      <c r="F15" s="19" t="inlineStr">
        <is>
          <t>Review</t>
        </is>
      </c>
      <c r="G15" s="19" t="inlineStr">
        <is>
          <t>Done</t>
        </is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45" customHeight="1" s="33">
      <c r="A16" s="1" t="n"/>
      <c r="B16" s="19" t="inlineStr">
        <is>
          <t>M4</t>
        </is>
      </c>
      <c r="C16" s="20" t="inlineStr">
        <is>
          <t>Full-SoC sim + scheduler demo → GO/NO-GO</t>
        </is>
      </c>
      <c r="D16" s="19" t="inlineStr">
        <is>
          <t>Jul 17</t>
        </is>
      </c>
      <c r="E16" s="19" t="inlineStr">
        <is>
          <t>W29</t>
        </is>
      </c>
      <c r="F16" s="19" t="inlineStr">
        <is>
          <t>CRITICAL</t>
        </is>
      </c>
      <c r="G16" s="19" t="inlineStr">
        <is>
          <t>Done</t>
        </is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5" customHeight="1" s="33">
      <c r="A17" s="1" t="n"/>
      <c r="B17" s="19" t="inlineStr">
        <is>
          <t>M5</t>
        </is>
      </c>
      <c r="C17" s="20" t="inlineStr">
        <is>
          <t>First DRC-clean P&amp;R (dry-run GDS)</t>
        </is>
      </c>
      <c r="D17" s="19" t="inlineStr">
        <is>
          <t>Jul 31</t>
        </is>
      </c>
      <c r="E17" s="19" t="inlineStr">
        <is>
          <t>W31</t>
        </is>
      </c>
      <c r="F17" s="19" t="inlineStr">
        <is>
          <t>Dry-run</t>
        </is>
      </c>
      <c r="G17" s="19" t="inlineStr">
        <is>
          <t>Done Aug 1 - Block A macro DRC/LVS clean (Magic 0, KLayout 0, Netgen "circuits match uniquely", XOR 0, antenna 0, IR drop 104 uV)</t>
        </is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5" customHeight="1" s="33">
      <c r="A18" s="1" t="n"/>
      <c r="B18" s="19" t="inlineStr">
        <is>
          <t>M6</t>
        </is>
      </c>
      <c r="C18" s="20" t="inlineStr">
        <is>
          <t>Top-level layout + LVS clean</t>
        </is>
      </c>
      <c r="D18" s="19" t="inlineStr">
        <is>
          <t>Aug 21</t>
        </is>
      </c>
      <c r="E18" s="19" t="inlineStr">
        <is>
          <t>W34</t>
        </is>
      </c>
      <c r="F18" s="19" t="inlineStr">
        <is>
          <t>Review</t>
        </is>
      </c>
      <c r="G18" s="19" t="inlineStr">
        <is>
          <t>In Progress - macro re-hardened 2026-08-02 with the bug-31 fix: DRC/LVS/XOR/antenna all 0, max-cap 0, max-fanout 1, max-slew 591 vs the library's 4.0 ns. Top-level layout is the MPW integrator's</t>
        </is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5" customHeight="1" s="33">
      <c r="A19" s="1" t="n"/>
      <c r="B19" s="19" t="inlineStr">
        <is>
          <t>M7</t>
        </is>
      </c>
      <c r="C19" s="20" t="inlineStr">
        <is>
          <t>FINAL DRC-clean GDSII submitted</t>
        </is>
      </c>
      <c r="D19" s="19" t="inlineStr">
        <is>
          <t>Aug 28</t>
        </is>
      </c>
      <c r="E19" s="19" t="inlineStr">
        <is>
          <t>W35</t>
        </is>
      </c>
      <c r="F19" s="19" t="inlineStr">
        <is>
          <t>FINAL</t>
        </is>
      </c>
      <c r="G19" s="19" t="inlineStr">
        <is>
          <t>Not Started - blocked on re-harden + slew/cap/fanout repair</t>
        </is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3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33">
      <c r="A22" s="1" t="n"/>
      <c r="B22" s="23" t="inlineStr">
        <is>
          <t>Update task statuses in the Tasks sheet — the KPI cards above recalculate automatically.</t>
        </is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33">
      <c r="A23" s="1" t="n"/>
      <c r="B23" s="23" t="inlineStr">
        <is>
          <t>Dates are subject to change (per organisers). Re-check the schedule repo &amp; Discord each phase.</t>
        </is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3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3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3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3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3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3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3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3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3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3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3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3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3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3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3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3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3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3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3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3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3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3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3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3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3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3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3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3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3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3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3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3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3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3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3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3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3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3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3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3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3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3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3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3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3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3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3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3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3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3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3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3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3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3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3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3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3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3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3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3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3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3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3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3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3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3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3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3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3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3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3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3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3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3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3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3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3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3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3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3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3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3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3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3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3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3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3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3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3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3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3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3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3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3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3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3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3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3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3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3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3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3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3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3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3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3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3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3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3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3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3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3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3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3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3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3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3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3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3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3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3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3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3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3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3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3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3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3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3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3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3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3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3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3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3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3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3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3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3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3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3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3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3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3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3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3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3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3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3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3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3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3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3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3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3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3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3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3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3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3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3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3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3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3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3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3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3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3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3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3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3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3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3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3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3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3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3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3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3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3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3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3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3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3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3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3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3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3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3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3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3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3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3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3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3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3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3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3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3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3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3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3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3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3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3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3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3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3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3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3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3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3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3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3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3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3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3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3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3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3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3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3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3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3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3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3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3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3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3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3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3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3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3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3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3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3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3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3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3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3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3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3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3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3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3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3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3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3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3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3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3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3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3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3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3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3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3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3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3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3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3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3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3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3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3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3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3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3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3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3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3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3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3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3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3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3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3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3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3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3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3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3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3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3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3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3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3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3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3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3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3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3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3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3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3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3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3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3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3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3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3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3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3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3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3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3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3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3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3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3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3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3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3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3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3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3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3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3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3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3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3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3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3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3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3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3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3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3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3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3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3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3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3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3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3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3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3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3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3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3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3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3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3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3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3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3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3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3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3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3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3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3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3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3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3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3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3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3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3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3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3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3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3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3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3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3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3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3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3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3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3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3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3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3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3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3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3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3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3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3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3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3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3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3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3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3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3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3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3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3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3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3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3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3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3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3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3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3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3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3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3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3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3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3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3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3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3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3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3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3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3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3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3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3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3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3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3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3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3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3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3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3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3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3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3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3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3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3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3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3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3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3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3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3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3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3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3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3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3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3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3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3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3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3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3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3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3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3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3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3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3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3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3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3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3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3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3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3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3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3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3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3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3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3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3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3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3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3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3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3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3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3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3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3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3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3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3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3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3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3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3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3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3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3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3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3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3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3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3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3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3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3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3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3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3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3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3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3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3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3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3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3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3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3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3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3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3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3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3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3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3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3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3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3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3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3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3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3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3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3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3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3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3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3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3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3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3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3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3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3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3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3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3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3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3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3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3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3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3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3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3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3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3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3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3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3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3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3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3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3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3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3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3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3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3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3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3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3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3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3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3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3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3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3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3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3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3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3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3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3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3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3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3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3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3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3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3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3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3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3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3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3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3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3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3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3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3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3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3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3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3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3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3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3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3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3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3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3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3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3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3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3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3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3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3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3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3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3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3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3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3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3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3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3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3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3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3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3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3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3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3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3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3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3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3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3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3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3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3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3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3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3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3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3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3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3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3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3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3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3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3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3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3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3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3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3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3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3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3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3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3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3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3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3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3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3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3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3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3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3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3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3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3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3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3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3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3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3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3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3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3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3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3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3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3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3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3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3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3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3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3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3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3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3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3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3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3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3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3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3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3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3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3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3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3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3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3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3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3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3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3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3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3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3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3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3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3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3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3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3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3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3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3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3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3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3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3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3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3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3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3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3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3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3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3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3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3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3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3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3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3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3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3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3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3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3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3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3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3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3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3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3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3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3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3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3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3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3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3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3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3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3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3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3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3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3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3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3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3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3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3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3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3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3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3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3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3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3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3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3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3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3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3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3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3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3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3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3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3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3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3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3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3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3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3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3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3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3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3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3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3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3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3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3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3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3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3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3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3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3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3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3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3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3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3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3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3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3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3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3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3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3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3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3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3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3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3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3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3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3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3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3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3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3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3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3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3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3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3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3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3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3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3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3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3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3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3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3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3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3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3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3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3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3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3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3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3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3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3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3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3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3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3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3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3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3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3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3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3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3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3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3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3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3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3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3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3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3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3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3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3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3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3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3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3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3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3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3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3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3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3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3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3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3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3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3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3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3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3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3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3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3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3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3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3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3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3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3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3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3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3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3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3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3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3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3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3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3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3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3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3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3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3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3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3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3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3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3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3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3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3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3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3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3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3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3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3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3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3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3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3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3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3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3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3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3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3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3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3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3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3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3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3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3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3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3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3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3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3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3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3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3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3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3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3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3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3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3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3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3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3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3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3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3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3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3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3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6">
    <mergeCell ref="B3:G3"/>
    <mergeCell ref="B2:G2"/>
    <mergeCell ref="B10:G10"/>
    <mergeCell ref="B22:G22"/>
    <mergeCell ref="B5:G5"/>
    <mergeCell ref="B23:G23"/>
  </mergeCells>
  <conditionalFormatting sqref="G12:G19">
    <cfRule type="containsText" priority="1" operator="containsText" dxfId="4" stopIfTrue="1" text="Done">
      <formula>NOT(ISERROR(SEARCH(("Done"),(G12))))</formula>
    </cfRule>
  </conditionalFormatting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6" customWidth="1" style="33" min="1" max="1"/>
    <col width="50" customWidth="1" style="33" min="2" max="2"/>
    <col width="13.43" customWidth="1" style="33" min="3" max="3"/>
    <col width="6.71" customWidth="1" style="33" min="4" max="4"/>
    <col width="12.57" customWidth="1" style="33" min="5" max="5"/>
    <col width="7.43" customWidth="1" style="33" min="6" max="7"/>
    <col width="50.43" customWidth="1" style="33" min="8" max="8"/>
    <col width="8.710000000000001" customWidth="1" style="33" min="9" max="26"/>
  </cols>
  <sheetData>
    <row r="1" ht="26.25" customHeight="1" s="33">
      <c r="A1" s="41" t="inlineStr">
        <is>
          <t>MOSAIC-SoC Task Tracker</t>
        </is>
      </c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6.25" customHeight="1" s="33">
      <c r="A2" s="26" t="inlineStr">
        <is>
          <t>Set Status to Done / In Progress / Blocked / Not Started — Dashboard rolls these up. Owner &amp; dates editable.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6.25" customHeight="1" s="33"/>
    <row r="4" ht="26.25" customHeight="1" s="33">
      <c r="A4" s="28" t="inlineStr">
        <is>
          <t>Phase</t>
        </is>
      </c>
      <c r="B4" s="28" t="inlineStr">
        <is>
          <t>Task</t>
        </is>
      </c>
      <c r="C4" s="28" t="inlineStr">
        <is>
          <t>Owner</t>
        </is>
      </c>
      <c r="D4" s="28" t="inlineStr">
        <is>
          <t>Week</t>
        </is>
      </c>
      <c r="E4" s="28" t="inlineStr">
        <is>
          <t>Status</t>
        </is>
      </c>
      <c r="F4" s="28" t="inlineStr">
        <is>
          <t>Start</t>
        </is>
      </c>
      <c r="G4" s="28" t="inlineStr">
        <is>
          <t>Due</t>
        </is>
      </c>
      <c r="H4" s="28" t="inlineStr">
        <is>
          <t>Notes / Deliverable</t>
        </is>
      </c>
    </row>
    <row r="5" ht="26.25" customHeight="1" s="33">
      <c r="A5" s="42" t="inlineStr">
        <is>
          <t>Phase 2</t>
        </is>
      </c>
      <c r="B5" s="42" t="inlineStr">
        <is>
          <t>Scaffold repo (rtl/ config/ flow/ verif/ agent/)</t>
        </is>
      </c>
      <c r="C5" s="42" t="inlineStr">
        <is>
          <t>All</t>
        </is>
      </c>
      <c r="D5" s="42" t="inlineStr">
        <is>
          <t>W24</t>
        </is>
      </c>
      <c r="E5" s="43" t="inlineStr">
        <is>
          <t>Done</t>
        </is>
      </c>
      <c r="F5" s="42" t="inlineStr">
        <is>
          <t>Jun 12</t>
        </is>
      </c>
      <c r="G5" s="42" t="inlineStr">
        <is>
          <t>Jun 18</t>
        </is>
      </c>
      <c r="H5" s="42" t="inlineStr">
        <is>
          <t>Repo live: hw/ util/ tb/ sw/ flow/ harness/ configs/ refs/</t>
        </is>
      </c>
    </row>
    <row r="6" ht="26.25" customHeight="1" s="33">
      <c r="A6" s="42" t="inlineStr">
        <is>
          <t>Phase 2</t>
        </is>
      </c>
      <c r="B6" s="42" t="inlineStr">
        <is>
          <t>Pin IIC-OSIC-TOOLS container + commit hash</t>
        </is>
      </c>
      <c r="C6" s="42" t="inlineStr">
        <is>
          <t>All</t>
        </is>
      </c>
      <c r="D6" s="42" t="inlineStr">
        <is>
          <t>W24</t>
        </is>
      </c>
      <c r="E6" s="31" t="inlineStr">
        <is>
          <t>In Progress</t>
        </is>
      </c>
      <c r="F6" s="42" t="inlineStr">
        <is>
          <t>Jun 12</t>
        </is>
      </c>
      <c r="G6" s="42" t="inlineStr">
        <is>
          <t>Jun 18</t>
        </is>
      </c>
      <c r="H6" s="42" t="inlineStr">
        <is>
          <t>Local toolchain in use; Verilator pinned to 5.050 (bug 21). Container pin + docs/ENV.md still open</t>
        </is>
      </c>
    </row>
    <row r="7" ht="26.25" customHeight="1" s="33">
      <c r="A7" s="42" t="inlineStr">
        <is>
          <t>Phase 2</t>
        </is>
      </c>
      <c r="B7" s="42" t="inlineStr">
        <is>
          <t>CI runs make lint on push</t>
        </is>
      </c>
      <c r="C7" s="42" t="inlineStr">
        <is>
          <t>All</t>
        </is>
      </c>
      <c r="D7" s="42" t="inlineStr">
        <is>
          <t>W24</t>
        </is>
      </c>
      <c r="E7" s="32" t="inlineStr">
        <is>
          <t>Not Started</t>
        </is>
      </c>
      <c r="F7" s="42" t="inlineStr">
        <is>
          <t>Jun 14</t>
        </is>
      </c>
      <c r="G7" s="42" t="inlineStr">
        <is>
          <t>Jun 20</t>
        </is>
      </c>
      <c r="H7" s="42" t="inlineStr">
        <is>
          <t>GitHub Actions not set up yet</t>
        </is>
      </c>
    </row>
    <row r="8" ht="26.25" customHeight="1" s="33">
      <c r="A8" s="42" t="inlineStr">
        <is>
          <t>Phase 2</t>
        </is>
      </c>
      <c r="B8" s="42" t="inlineStr">
        <is>
          <t>mosaic.yaml schema v0 (JSON-Schema)</t>
        </is>
      </c>
      <c r="C8" s="42" t="inlineStr">
        <is>
          <t>MILOUDIAS</t>
        </is>
      </c>
      <c r="D8" s="42" t="inlineStr">
        <is>
          <t>W25</t>
        </is>
      </c>
      <c r="E8" s="43" t="inlineStr">
        <is>
          <t>Done</t>
        </is>
      </c>
      <c r="F8" s="42" t="inlineStr">
        <is>
          <t>Jun 19</t>
        </is>
      </c>
      <c r="G8" s="42" t="inlineStr">
        <is>
          <t>Jun 25</t>
        </is>
      </c>
      <c r="H8" s="42" t="inlineStr">
        <is>
          <t>Python-validated schema (mosaic_config.py) + bus_opts validation; 15 pytests green</t>
        </is>
      </c>
    </row>
    <row r="9" ht="26.25" customHeight="1" s="33">
      <c r="A9" s="42" t="inlineStr">
        <is>
          <t>Phase 2</t>
        </is>
      </c>
      <c r="B9" s="42" t="inlineStr">
        <is>
          <t>SCI (OBI 1.3) wrapper spec</t>
        </is>
      </c>
      <c r="C9" s="42" t="inlineStr">
        <is>
          <t>MILOUDIAS</t>
        </is>
      </c>
      <c r="D9" s="42" t="inlineStr">
        <is>
          <t>W25</t>
        </is>
      </c>
      <c r="E9" s="43" t="inlineStr">
        <is>
          <t>Done</t>
        </is>
      </c>
      <c r="F9" s="42" t="inlineStr">
        <is>
          <t>Jun 19</t>
        </is>
      </c>
      <c r="G9" s="42" t="inlineStr">
        <is>
          <t>Jun 25</t>
        </is>
      </c>
      <c r="H9" s="42" t="inlineStr">
        <is>
          <t>SCI spec realised in 3 wrappers (fazyrv/serv/ibex): OBI bridge, dormancy + sleep/wake handshake, core_sleep_o</t>
        </is>
      </c>
    </row>
    <row r="10" ht="26.25" customHeight="1" s="33">
      <c r="A10" s="42" t="inlineStr">
        <is>
          <t>Phase 2</t>
        </is>
      </c>
      <c r="B10" s="42" t="inlineStr">
        <is>
          <t>Wrap SERV in SCI; builds</t>
        </is>
      </c>
      <c r="C10" s="42" t="inlineStr">
        <is>
          <t>MILOUDIAS</t>
        </is>
      </c>
      <c r="D10" s="42" t="inlineStr">
        <is>
          <t>W25</t>
        </is>
      </c>
      <c r="E10" s="43" t="inlineStr">
        <is>
          <t>Done</t>
        </is>
      </c>
      <c r="F10" s="42" t="inlineStr">
        <is>
          <t>Jun 22</t>
        </is>
      </c>
      <c r="G10" s="42" t="inlineStr">
        <is>
          <t>Jun 28</t>
        </is>
      </c>
      <c r="H10" s="42" t="inlineStr">
        <is>
          <t>serv_sci.sv verified: cocotb wake-loop + full-SoC firmware sim (QERV reuses it at W=4)</t>
        </is>
      </c>
    </row>
    <row r="11" ht="26.25" customHeight="1" s="33">
      <c r="A11" s="42" t="inlineStr">
        <is>
          <t>Phase 2</t>
        </is>
      </c>
      <c r="B11" s="42" t="inlineStr">
        <is>
          <t>SERV &amp; FazyRV pass riscv-formal</t>
        </is>
      </c>
      <c r="C11" s="42" t="inlineStr">
        <is>
          <t>yacine-hk</t>
        </is>
      </c>
      <c r="D11" s="42" t="inlineStr">
        <is>
          <t>W26</t>
        </is>
      </c>
      <c r="E11" s="32" t="inlineStr">
        <is>
          <t>Not Started</t>
        </is>
      </c>
      <c r="F11" s="42" t="inlineStr">
        <is>
          <t>Jun 26</t>
        </is>
      </c>
      <c r="G11" s="42" t="inlineStr">
        <is>
          <t>Jul 2</t>
        </is>
      </c>
      <c r="H11" s="42" t="inlineStr">
        <is>
          <t>Deprioritised: functional verification via cocotb + full-SoC sims instead (riscv-formal = stretch, N-09)</t>
        </is>
      </c>
    </row>
    <row r="12" ht="26.25" customHeight="1" s="33">
      <c r="A12" s="42" t="inlineStr">
        <is>
          <t>Phase 2</t>
        </is>
      </c>
      <c r="B12" s="42" t="inlineStr">
        <is>
          <t>config-author skill scaffold (NL→YAML)</t>
        </is>
      </c>
      <c r="C12" s="42" t="inlineStr">
        <is>
          <t>trabdelbasset</t>
        </is>
      </c>
      <c r="D12" s="42" t="inlineStr">
        <is>
          <t>W26</t>
        </is>
      </c>
      <c r="E12" s="43" t="inlineStr">
        <is>
          <t>Done</t>
        </is>
      </c>
      <c r="F12" s="42" t="inlineStr">
        <is>
          <t>Jun 26</t>
        </is>
      </c>
      <c r="G12" s="42" t="inlineStr">
        <is>
          <t>Jul 2</t>
        </is>
      </c>
      <c r="H12" s="42" t="inlineStr">
        <is>
          <t>harness/skills/config_author.py: generate/validate, 3 presets, CLI</t>
        </is>
      </c>
    </row>
    <row r="13" ht="26.25" customHeight="1" s="33">
      <c r="A13" s="42" t="inlineStr">
        <is>
          <t>Phase 3</t>
        </is>
      </c>
      <c r="B13" s="42" t="inlineStr">
        <is>
          <t>Generator emits RTL + memory map from config</t>
        </is>
      </c>
      <c r="C13" s="42" t="inlineStr">
        <is>
          <t>MILOUDIAS</t>
        </is>
      </c>
      <c r="D13" s="42" t="inlineStr">
        <is>
          <t>W27</t>
        </is>
      </c>
      <c r="E13" s="43" t="inlineStr">
        <is>
          <t>Done</t>
        </is>
      </c>
      <c r="F13" s="42" t="inlineStr">
        <is>
          <t>Jul 3</t>
        </is>
      </c>
      <c r="G13" s="42" t="inlineStr">
        <is>
          <t>Jul 9</t>
        </is>
      </c>
      <c r="H13" s="42" t="inlineStr">
        <is>
          <t>mcu_gen.py + 37 Mako templates; make mosaic-gen EXIT=0; memory map emitted (M2 passed Jun 30)</t>
        </is>
      </c>
    </row>
    <row r="14" ht="26.25" customHeight="1" s="33">
      <c r="A14" s="42" t="inlineStr">
        <is>
          <t>Phase 3</t>
        </is>
      </c>
      <c r="B14" s="42" t="inlineStr">
        <is>
          <t>Integrate OBI crossbar + Task Dispatch Unit</t>
        </is>
      </c>
      <c r="C14" s="42" t="inlineStr">
        <is>
          <t>MILOUDIAS</t>
        </is>
      </c>
      <c r="D14" s="42" t="inlineStr">
        <is>
          <t>W27</t>
        </is>
      </c>
      <c r="E14" s="43" t="inlineStr">
        <is>
          <t>Done</t>
        </is>
      </c>
      <c r="F14" s="42" t="inlineStr">
        <is>
          <t>Jul 3</t>
        </is>
      </c>
      <c r="G14" s="42" t="inlineStr">
        <is>
          <t>Jul 9</t>
        </is>
      </c>
      <c r="H14" s="42" t="inlineStr">
        <is>
          <t>TDU 22/22 unit + SoC cocotb; THREE fabrics done: OBI xbar, log (LIC), FlooNoC. GE count pending synthesis</t>
        </is>
      </c>
    </row>
    <row r="15" ht="26.25" customHeight="1" s="33">
      <c r="A15" s="42" t="inlineStr">
        <is>
          <t>Phase 3</t>
        </is>
      </c>
      <c r="B15" s="42" t="inlineStr">
        <is>
          <t>Per-core RISC-V Arch Tests via cocotb</t>
        </is>
      </c>
      <c r="C15" s="42" t="inlineStr">
        <is>
          <t>yacine-hk</t>
        </is>
      </c>
      <c r="D15" s="42" t="inlineStr">
        <is>
          <t>W28</t>
        </is>
      </c>
      <c r="E15" s="31" t="inlineStr">
        <is>
          <t>In Progress</t>
        </is>
      </c>
      <c r="F15" s="42" t="inlineStr">
        <is>
          <t>Jul 10</t>
        </is>
      </c>
      <c r="G15" s="42" t="inlineStr">
        <is>
          <t>Jul 16</t>
        </is>
      </c>
      <c r="H15" s="42" t="inlineStr">
        <is>
          <t>Functional per-core sims green for all 12 cores (SCI cocotb, all-TITAN SMP, picorv32/snitch/cva6 + rocket/boom/hazard3 wake demos); official arch-test suite not run</t>
        </is>
      </c>
    </row>
    <row r="16" ht="26.25" customHeight="1" s="33">
      <c r="A16" s="42" t="inlineStr">
        <is>
          <t>Phase 3</t>
        </is>
      </c>
      <c r="B16" s="42" t="inlineStr">
        <is>
          <t>Peripheral tests (UART/GPIO/timer)</t>
        </is>
      </c>
      <c r="C16" s="42" t="inlineStr">
        <is>
          <t>yacine-hk</t>
        </is>
      </c>
      <c r="D16" s="42" t="inlineStr">
        <is>
          <t>W28</t>
        </is>
      </c>
      <c r="E16" s="32" t="inlineStr">
        <is>
          <t>Not Started</t>
        </is>
      </c>
      <c r="F16" s="42" t="inlineStr">
        <is>
          <t>Jul 10</t>
        </is>
      </c>
      <c r="G16" s="42" t="inlineStr">
        <is>
          <t>Jul 16</t>
        </is>
      </c>
      <c r="H16" s="42" t="inlineStr">
        <is>
          <t>Peripherals only exercised implicitly (soc_ctrl, SPI boot path) — no dedicated UART/GPIO/timer TB yet</t>
        </is>
      </c>
    </row>
    <row r="17" ht="26.25" customHeight="1" s="33">
      <c r="A17" s="42" t="inlineStr">
        <is>
          <t>Phase 3</t>
        </is>
      </c>
      <c r="B17" s="42" t="inlineStr">
        <is>
          <t>Full-SoC Verilator sim (sensors+IIR+UART)</t>
        </is>
      </c>
      <c r="C17" s="42" t="inlineStr">
        <is>
          <t>MILOUDIAS</t>
        </is>
      </c>
      <c r="D17" s="42" t="inlineStr">
        <is>
          <t>W29</t>
        </is>
      </c>
      <c r="E17" s="43" t="inlineStr">
        <is>
          <t>Done</t>
        </is>
      </c>
      <c r="F17" s="42" t="inlineStr">
        <is>
          <t>Jul 17</t>
        </is>
      </c>
      <c r="G17" s="42" t="inlineStr">
        <is>
          <t>Jul 17</t>
        </is>
      </c>
      <c r="H17" s="42" t="inlineStr">
        <is>
          <t>Early (Jul 9): run_fw.sh production C firmware on 7-hart PoC — EXIT SUCCESS (D-60); workloads via TDU tasks</t>
        </is>
      </c>
    </row>
    <row r="18" ht="26.25" customHeight="1" s="33">
      <c r="A18" s="42" t="inlineStr">
        <is>
          <t>Phase 3</t>
        </is>
      </c>
      <c r="B18" s="42" t="inlineStr">
        <is>
          <t>TDU scheduler demo (3 modes, migration ≤2 ticks)</t>
        </is>
      </c>
      <c r="C18" s="42" t="inlineStr">
        <is>
          <t>MILOUDIAS</t>
        </is>
      </c>
      <c r="D18" s="42" t="inlineStr">
        <is>
          <t>W29</t>
        </is>
      </c>
      <c r="E18" s="43" t="inlineStr">
        <is>
          <t>Done</t>
        </is>
      </c>
      <c r="F18" s="42" t="inlineStr">
        <is>
          <t>Jul 17</t>
        </is>
      </c>
      <c r="G18" s="42" t="inlineStr">
        <is>
          <t>Jul 17</t>
        </is>
      </c>
      <c r="H18" s="42" t="inlineStr">
        <is>
          <t>titan_scheduling_demo.c: static / dynamic (CPI) / power-aware phases build &amp; run (D-39)</t>
        </is>
      </c>
    </row>
    <row r="19" ht="26.25" customHeight="1" s="33">
      <c r="A19" s="42" t="inlineStr">
        <is>
          <t>Phase 3</t>
        </is>
      </c>
      <c r="B19" s="42" t="inlineStr">
        <is>
          <t>flow-runner drives first synthesis</t>
        </is>
      </c>
      <c r="C19" s="42" t="inlineStr">
        <is>
          <t>trabdelbasset</t>
        </is>
      </c>
      <c r="D19" s="42" t="inlineStr">
        <is>
          <t>W29</t>
        </is>
      </c>
      <c r="E19" s="31" t="inlineStr">
        <is>
          <t>In Progress</t>
        </is>
      </c>
      <c r="F19" s="42" t="inlineStr">
        <is>
          <t>Jul 17</t>
        </is>
      </c>
      <c r="G19" s="42" t="inlineStr">
        <is>
          <t>Jul 17</t>
        </is>
      </c>
      <c r="H19" s="42" t="inlineStr">
        <is>
          <t>flow-runner skill done (11 flows, log parsing); first real synthesis run still pending PDK setup</t>
        </is>
      </c>
    </row>
    <row r="20" ht="26.25" customHeight="1" s="33">
      <c r="A20" s="42" t="inlineStr">
        <is>
          <t>Phase 4</t>
        </is>
      </c>
      <c r="B20" s="42" t="inlineStr">
        <is>
          <t>Full Librelane flow to GDSII</t>
        </is>
      </c>
      <c r="C20" s="42" t="inlineStr">
        <is>
          <t>yacine-hk</t>
        </is>
      </c>
      <c r="D20" s="42" t="inlineStr">
        <is>
          <t>W30</t>
        </is>
      </c>
      <c r="E20" s="31" t="inlineStr">
        <is>
          <t>In Progress</t>
        </is>
      </c>
      <c r="F20" s="42" t="inlineStr">
        <is>
          <t>Jul 24</t>
        </is>
      </c>
      <c r="G20" s="42" t="inlineStr">
        <is>
          <t>Jul 30</t>
        </is>
      </c>
      <c r="H20" s="42" t="inlineStr">
        <is>
          <t>LibreLane flow wired (configs, PDN, SDC) and now clone-reproducible: run_signoff.sh resolves the filelist from the FuseSoC manifest, zero absolute paths in the checked-in configs. Blockers P-01 (pin-binding) / P-03 (SRAM macros) predate the routed Block A macro and need re-check</t>
        </is>
      </c>
    </row>
    <row r="21" ht="26.25" customHeight="1" s="33">
      <c r="A21" s="42" t="inlineStr">
        <is>
          <t>Phase 4</t>
        </is>
      </c>
      <c r="B21" s="42" t="inlineStr">
        <is>
          <t>First DRC-clean GDSII + STA @ 50MHz</t>
        </is>
      </c>
      <c r="C21" s="42" t="inlineStr">
        <is>
          <t>yacine-hk</t>
        </is>
      </c>
      <c r="D21" s="42" t="inlineStr">
        <is>
          <t>W31</t>
        </is>
      </c>
      <c r="E21" s="32" t="inlineStr">
        <is>
          <t>Not Started</t>
        </is>
      </c>
      <c r="F21" s="42" t="inlineStr">
        <is>
          <t>Jul 31</t>
        </is>
      </c>
      <c r="G21" s="42" t="inlineStr">
        <is>
          <t>Jul 31</t>
        </is>
      </c>
      <c r="H21" s="42" t="inlineStr">
        <is>
          <t>Needs P-01..P-03 + GF180 PDK first</t>
        </is>
      </c>
    </row>
    <row r="22" ht="26.25" customHeight="1" s="33">
      <c r="A22" s="42" t="inlineStr">
        <is>
          <t>Phase 4</t>
        </is>
      </c>
      <c r="B22" s="42" t="inlineStr">
        <is>
          <t>Padframe (22 pins, ¼ block) + ESD ring</t>
        </is>
      </c>
      <c r="C22" s="42" t="inlineStr">
        <is>
          <t>yacine-hk</t>
        </is>
      </c>
      <c r="D22" s="42" t="inlineStr">
        <is>
          <t>W32</t>
        </is>
      </c>
      <c r="E22" s="31" t="inlineStr">
        <is>
          <t>In Progress</t>
        </is>
      </c>
      <c r="F22" s="42" t="inlineStr">
        <is>
          <t>Aug 7</t>
        </is>
      </c>
      <c r="G22" s="42" t="inlineStr">
        <is>
          <t>Aug 13</t>
        </is>
      </c>
      <c r="H22" s="42" t="inlineStr">
        <is>
          <t>GF180 pad frame chip_top.sv elaborates clean (D-31); pad map slot_mosaic.yaml completion open (P-02)</t>
        </is>
      </c>
    </row>
    <row r="23" ht="26.25" customHeight="1" s="33">
      <c r="A23" s="42" t="inlineStr">
        <is>
          <t>Phase 4</t>
        </is>
      </c>
      <c r="B23" s="42" t="inlineStr">
        <is>
          <t>drc-triage skill live + log metrics</t>
        </is>
      </c>
      <c r="C23" s="42" t="inlineStr">
        <is>
          <t>trabdelbasset</t>
        </is>
      </c>
      <c r="D23" s="42" t="inlineStr">
        <is>
          <t>W33</t>
        </is>
      </c>
      <c r="E23" s="31" t="inlineStr">
        <is>
          <t>In Progress</t>
        </is>
      </c>
      <c r="F23" s="42" t="inlineStr">
        <is>
          <t>Aug 14</t>
        </is>
      </c>
      <c r="G23" s="42" t="inlineStr">
        <is>
          <t>Aug 20</t>
        </is>
      </c>
      <c r="H23" s="42" t="inlineStr">
        <is>
          <t>drc-triage skill implemented + tested (Magic/KLayout/Netgen parsers, D-43); awaiting real DRC runs for metrics</t>
        </is>
      </c>
    </row>
    <row r="24" ht="26.25" customHeight="1" s="33">
      <c r="A24" s="42" t="inlineStr">
        <is>
          <t>Phase 4</t>
        </is>
      </c>
      <c r="B24" s="42" t="inlineStr">
        <is>
          <t>Top-level DRC + LVS clean</t>
        </is>
      </c>
      <c r="C24" s="42" t="inlineStr">
        <is>
          <t>yacine-hk</t>
        </is>
      </c>
      <c r="D24" s="42" t="inlineStr">
        <is>
          <t>W34</t>
        </is>
      </c>
      <c r="E24" s="32" t="inlineStr">
        <is>
          <t>Not Started</t>
        </is>
      </c>
      <c r="F24" s="42" t="inlineStr">
        <is>
          <t>Aug 21</t>
        </is>
      </c>
      <c r="G24" s="42" t="inlineStr">
        <is>
          <t>Aug 21</t>
        </is>
      </c>
      <c r="H24" s="42" t="inlineStr">
        <is>
          <t>Layout Review top (M6)</t>
        </is>
      </c>
    </row>
    <row r="25" ht="26.25" customHeight="1" s="33">
      <c r="A25" s="42" t="inlineStr">
        <is>
          <t>Phase 4</t>
        </is>
      </c>
      <c r="B25" s="42" t="inlineStr">
        <is>
          <t>doc-gen: memory-map + run report</t>
        </is>
      </c>
      <c r="C25" s="42" t="inlineStr">
        <is>
          <t>yacine-hk</t>
        </is>
      </c>
      <c r="D25" s="42" t="inlineStr">
        <is>
          <t>W34</t>
        </is>
      </c>
      <c r="E25" s="43" t="inlineStr">
        <is>
          <t>Done</t>
        </is>
      </c>
      <c r="F25" s="42" t="inlineStr">
        <is>
          <t>Aug 21</t>
        </is>
      </c>
      <c r="G25" s="42" t="inlineStr">
        <is>
          <t>Aug 21</t>
        </is>
      </c>
      <c r="H25" s="42" t="inlineStr">
        <is>
          <t>doc-gen skill: config summary, memory map, run reports, dashboard parse (D-44)</t>
        </is>
      </c>
    </row>
    <row r="26" ht="26.25" customHeight="1" s="33">
      <c r="A26" s="42" t="inlineStr">
        <is>
          <t>Phase 4</t>
        </is>
      </c>
      <c r="B26" s="42" t="inlineStr">
        <is>
          <t>FINAL DRC-clean GDSII + metrics + repro pkg</t>
        </is>
      </c>
      <c r="C26" s="42" t="inlineStr">
        <is>
          <t>All</t>
        </is>
      </c>
      <c r="D26" s="42" t="inlineStr">
        <is>
          <t>W35</t>
        </is>
      </c>
      <c r="E26" s="32" t="inlineStr">
        <is>
          <t>Not Started</t>
        </is>
      </c>
      <c r="F26" s="42" t="inlineStr">
        <is>
          <t>Aug 28</t>
        </is>
      </c>
      <c r="G26" s="42" t="inlineStr">
        <is>
          <t>Aug 28</t>
        </is>
      </c>
      <c r="H26" s="42" t="inlineStr">
        <is>
          <t>FINAL submission (M7)</t>
        </is>
      </c>
    </row>
    <row r="27" ht="26.25" customHeight="1" s="33">
      <c r="A27" s="42" t="inlineStr">
        <is>
          <t>Phase 5</t>
        </is>
      </c>
      <c r="B27" s="42" t="inlineStr">
        <is>
          <t>Write bring-up test plan</t>
        </is>
      </c>
      <c r="C27" s="42" t="inlineStr">
        <is>
          <t>yacine-hk</t>
        </is>
      </c>
      <c r="D27" s="42" t="inlineStr">
        <is>
          <t>W35</t>
        </is>
      </c>
      <c r="E27" s="32" t="inlineStr">
        <is>
          <t>Not Started</t>
        </is>
      </c>
      <c r="F27" s="42" t="inlineStr">
        <is>
          <t>Aug 28</t>
        </is>
      </c>
      <c r="G27" s="42" t="inlineStr">
        <is>
          <t>Aug 31</t>
        </is>
      </c>
      <c r="H27" s="42" t="inlineStr">
        <is>
          <t>UART loopback, sensor smoke, sched toggle</t>
        </is>
      </c>
    </row>
    <row r="28" ht="26.25" customHeight="1" s="33">
      <c r="A28" s="42" t="inlineStr">
        <is>
          <t>Phase 5</t>
        </is>
      </c>
      <c r="B28" s="42" t="inlineStr">
        <is>
          <t>Archive reproducibility container</t>
        </is>
      </c>
      <c r="C28" s="42" t="inlineStr">
        <is>
          <t>trabdelbasset</t>
        </is>
      </c>
      <c r="D28" s="42" t="inlineStr">
        <is>
          <t>TBD</t>
        </is>
      </c>
      <c r="E28" s="32" t="inlineStr">
        <is>
          <t>Not Started</t>
        </is>
      </c>
      <c r="F28" s="42" t="n"/>
      <c r="G28" s="42" t="n"/>
      <c r="H28" s="42" t="inlineStr">
        <is>
          <t>Await organiser fab dates. Flow side already machine-independent: LibreLane signoff resolves its filelist at run time, no absolute paths in the repo (Aug 3). Container pin still open</t>
        </is>
      </c>
    </row>
    <row r="29" ht="26.25" customHeight="1" s="33">
      <c r="A29" s="42" t="inlineStr">
        <is>
          <t>Phase 3</t>
        </is>
      </c>
      <c r="B29" s="42" t="inlineStr">
        <is>
          <t>Multi-fabric system bus: bus: obi | log (2-tier LIC) | floonoc (AXI NoC + OBI bridges)</t>
        </is>
      </c>
      <c r="C29" s="42" t="inlineStr">
        <is>
          <t>MILOUDIAS</t>
        </is>
      </c>
      <c r="D29" s="42" t="inlineStr">
        <is>
          <t>W27</t>
        </is>
      </c>
      <c r="E29" s="43" t="inlineStr">
        <is>
          <t>Done</t>
        </is>
      </c>
      <c r="F29" s="42" t="inlineStr">
        <is>
          <t>Jul 5</t>
        </is>
      </c>
      <c r="G29" s="42" t="inlineStr">
        <is>
          <t>Jul 9</t>
        </is>
      </c>
      <c r="H29" s="42" t="inlineStr">
        <is>
          <t>D-54..57: tb/log_xbar 5/5, bridge+NoC cocotb, wake demo EXIT SUCCESS ×3 fabrics</t>
        </is>
      </c>
    </row>
    <row r="30" ht="26.25" customHeight="1" s="33">
      <c r="A30" s="42" t="inlineStr">
        <is>
          <t>Phase 3</t>
        </is>
      </c>
      <c r="B30" s="42" t="inlineStr">
        <is>
          <t>iDMA integration (reg frontend + ND midend + OBI backend)</t>
        </is>
      </c>
      <c r="C30" s="42" t="inlineStr">
        <is>
          <t>MILOUDIAS</t>
        </is>
      </c>
      <c r="D30" s="42" t="inlineStr">
        <is>
          <t>W26</t>
        </is>
      </c>
      <c r="E30" s="43" t="inlineStr">
        <is>
          <t>Done</t>
        </is>
      </c>
      <c r="F30" s="42" t="inlineStr">
        <is>
          <t>Jun 29</t>
        </is>
      </c>
      <c r="G30" s="42" t="inlineStr">
        <is>
          <t>Jun 30</t>
        </is>
      </c>
      <c r="H30" s="42" t="inlineStr">
        <is>
          <t>D-16: rewritten idma_xheep_wrapper; cocotb PASS at block + SoC level</t>
        </is>
      </c>
    </row>
    <row r="31" ht="26.25" customHeight="1" s="33">
      <c r="A31" s="42" t="inlineStr">
        <is>
          <t>Phase 3</t>
        </is>
      </c>
      <c r="B31" s="42" t="inlineStr">
        <is>
          <t>TDU wake→core loop + worker dormancy (per-hart fetch-enable gating)</t>
        </is>
      </c>
      <c r="C31" s="42" t="inlineStr">
        <is>
          <t>MILOUDIAS</t>
        </is>
      </c>
      <c r="D31" s="42" t="inlineStr">
        <is>
          <t>W26</t>
        </is>
      </c>
      <c r="E31" s="43" t="inlineStr">
        <is>
          <t>Done</t>
        </is>
      </c>
      <c r="F31" s="42" t="inlineStr">
        <is>
          <t>Jun 29</t>
        </is>
      </c>
      <c r="G31" s="42" t="inlineStr">
        <is>
          <t>Jun 30</t>
        </is>
      </c>
      <c r="H31" s="42" t="inlineStr">
        <is>
          <t>D-17: cocotb end-to-end — no-wake parked / selective wake / all run</t>
        </is>
      </c>
    </row>
    <row r="32" ht="26.25" customHeight="1" s="33">
      <c r="A32" s="42" t="inlineStr">
        <is>
          <t>Phase 3</t>
        </is>
      </c>
      <c r="B32" s="42" t="inlineStr">
        <is>
          <t>Production C firmware (TDU driver + TITAN orchestrator + ASM workers) on 7-hart PoC</t>
        </is>
      </c>
      <c r="C32" s="42" t="inlineStr">
        <is>
          <t>MILOUDIAS</t>
        </is>
      </c>
      <c r="D32" s="42" t="inlineStr">
        <is>
          <t>W28</t>
        </is>
      </c>
      <c r="E32" s="43" t="inlineStr">
        <is>
          <t>Done</t>
        </is>
      </c>
      <c r="F32" s="42" t="inlineStr">
        <is>
          <t>Jul 8</t>
        </is>
      </c>
      <c r="G32" s="42" t="inlineStr">
        <is>
          <t>Jul 9</t>
        </is>
      </c>
      <c r="H32" s="42" t="inlineStr">
        <is>
          <t>D-60: EXIT SUCCESS — 6 workers pop unique descriptors, per-slot sentinels + results verified</t>
        </is>
      </c>
    </row>
    <row r="33" ht="26.25" customHeight="1" s="33">
      <c r="A33" s="42" t="inlineStr">
        <is>
          <t>Phase 3</t>
        </is>
      </c>
      <c r="B33" s="42" t="inlineStr">
        <is>
          <t>cv32e40x integration + all-TITAN 4-core SMP demo (2×cv32e20 + 2×cv32e40x)</t>
        </is>
      </c>
      <c r="C33" s="42" t="inlineStr">
        <is>
          <t>MILOUDIAS</t>
        </is>
      </c>
      <c r="D33" s="42" t="inlineStr">
        <is>
          <t>W28</t>
        </is>
      </c>
      <c r="E33" s="43" t="inlineStr">
        <is>
          <t>Done</t>
        </is>
      </c>
      <c r="F33" s="42" t="inlineStr">
        <is>
          <t>Jul 10</t>
        </is>
      </c>
      <c r="G33" s="42" t="inlineStr">
        <is>
          <t>Jul 10</t>
        </is>
      </c>
      <c r="H33" s="42" t="inlineStr">
        <is>
          <t>D-61/62: EXIT SUCCESS on obi/log/floonoc (17/8/58 µs); core bumped to post-0.10, XIF compat shim</t>
        </is>
      </c>
    </row>
    <row r="34" ht="26.25" customHeight="1" s="33">
      <c r="A34" s="42" t="inlineStr">
        <is>
          <t>Phase 3</t>
        </is>
      </c>
      <c r="B34" s="42" t="inlineStr">
        <is>
          <t>Debug: Verilator nightly DFG miscompile of cv32e40x hazard halt (bug 21)</t>
        </is>
      </c>
      <c r="C34" s="42" t="inlineStr">
        <is>
          <t>MILOUDIAS</t>
        </is>
      </c>
      <c r="D34" s="42" t="inlineStr">
        <is>
          <t>W28</t>
        </is>
      </c>
      <c r="E34" s="43" t="inlineStr">
        <is>
          <t>Done</t>
        </is>
      </c>
      <c r="F34" s="42" t="inlineStr">
        <is>
          <t>Jul 10</t>
        </is>
      </c>
      <c r="G34" s="42" t="inlineStr">
        <is>
          <t>Jul 10</t>
        </is>
      </c>
      <c r="H34" s="42" t="inlineStr">
        <is>
          <t>RTL exonerated (-O0 + -fno-dfg discriminators); pinned Verilator 5.050 in all run scripts</t>
        </is>
      </c>
    </row>
    <row r="35" ht="26.25" customHeight="1" s="33">
      <c r="A35" s="42" t="inlineStr">
        <is>
          <t>Phase 2</t>
        </is>
      </c>
      <c r="B35" s="42" t="inlineStr">
        <is>
          <t>oh-my-soc harness: core + flow-runner/drc-triage/doc-gen/topo-viz skills + CLI</t>
        </is>
      </c>
      <c r="C35" s="42" t="inlineStr">
        <is>
          <t>trabdelbasset</t>
        </is>
      </c>
      <c r="D35" s="42" t="inlineStr">
        <is>
          <t>W26</t>
        </is>
      </c>
      <c r="E35" s="43" t="inlineStr">
        <is>
          <t>Done</t>
        </is>
      </c>
      <c r="F35" s="42" t="inlineStr">
        <is>
          <t>Jun 30</t>
        </is>
      </c>
      <c r="G35" s="42" t="inlineStr">
        <is>
          <t>Jul 9</t>
        </is>
      </c>
      <c r="H35" s="42" t="inlineStr">
        <is>
          <t>D-40..45, D-58: 5 skills; python -m harness &lt;skill&gt; &lt;cmd&gt;; pytest green</t>
        </is>
      </c>
    </row>
    <row r="36" ht="26.25" customHeight="1" s="33">
      <c r="A36" s="42" t="inlineStr">
        <is>
          <t>Phase 3</t>
        </is>
      </c>
      <c r="B36" s="42" t="inlineStr">
        <is>
          <t>Full regression suite (18 steps: TDU unit/SoC, LIC, iDMA, NoC, SCI, wake ×3 fabrics, new-core demos ×4, all-TITAN ×3, prod fw, pytest)</t>
        </is>
      </c>
      <c r="C36" s="42" t="inlineStr">
        <is>
          <t>MILOUDIAS</t>
        </is>
      </c>
      <c r="D36" s="42" t="inlineStr">
        <is>
          <t>W28</t>
        </is>
      </c>
      <c r="E36" s="43" t="inlineStr">
        <is>
          <t>Done</t>
        </is>
      </c>
      <c r="F36" s="42" t="inlineStr">
        <is>
          <t>Jul 10</t>
        </is>
      </c>
      <c r="G36" s="42" t="inlineStr">
        <is>
          <t>Jul 11</t>
        </is>
      </c>
      <c r="H36" s="42" t="inlineStr">
        <is>
          <t>Sweep 2026-07-11: ALL PASS (18/18) under pinned Verilator 5.050; extended to 26 steps Jul 12 (Berkeley, Hazard3, harness demos) — ALL PASS</t>
        </is>
      </c>
    </row>
    <row r="37" ht="26.25" customHeight="1" s="33">
      <c r="A37" s="42" t="inlineStr">
        <is>
          <t>Phase 3</t>
        </is>
      </c>
      <c r="B37" s="42" t="inlineStr">
        <is>
          <t>PicoRV32 integration (YosysHQ f00a88c vendor + picorv32_sci native-mem→OBI wrapper)</t>
        </is>
      </c>
      <c r="C37" s="42" t="inlineStr">
        <is>
          <t>MILOUDIAS</t>
        </is>
      </c>
      <c r="D37" s="42" t="inlineStr">
        <is>
          <t>W28</t>
        </is>
      </c>
      <c r="E37" s="43" t="inlineStr">
        <is>
          <t>Done</t>
        </is>
      </c>
      <c r="F37" s="42" t="inlineStr">
        <is>
          <t>Jul 11</t>
        </is>
      </c>
      <c r="G37" s="42" t="inlineStr">
        <is>
          <t>Jul 11</t>
        </is>
      </c>
      <c r="H37" s="42" t="inlineStr">
        <is>
          <t>D-63: mosaic_picorv32.yaml wake demo EXIT SUCCESS (2 picorv32 workers); passed first run</t>
        </is>
      </c>
    </row>
    <row r="38" ht="26.25" customHeight="1" s="33">
      <c r="A38" s="42" t="inlineStr">
        <is>
          <t>Phase 3</t>
        </is>
      </c>
      <c r="B38" s="42" t="inlineStr">
        <is>
          <t>Snitch bare-core integration (mempool vendor + snitch_sci reqrsp→split-OBI wrapper)</t>
        </is>
      </c>
      <c r="C38" s="42" t="inlineStr">
        <is>
          <t>MILOUDIAS</t>
        </is>
      </c>
      <c r="D38" s="42" t="inlineStr">
        <is>
          <t>W28</t>
        </is>
      </c>
      <c r="E38" s="43" t="inlineStr">
        <is>
          <t>Done</t>
        </is>
      </c>
      <c r="F38" s="42" t="inlineStr">
        <is>
          <t>Jul 11</t>
        </is>
      </c>
      <c r="G38" s="42" t="inlineStr">
        <is>
          <t>Jul 11</t>
        </is>
      </c>
      <c r="H38" s="42" t="inlineStr">
        <is>
          <t>D-64: mosaic_snitch.yaml wake demo EXIT SUCCESS; 3 documented vendored-file divergences (X-poison ifdefs, fork fpnew blobs)</t>
        </is>
      </c>
    </row>
    <row r="39" ht="26.25" customHeight="1" s="33">
      <c r="A39" s="42" t="inlineStr">
        <is>
          <t>Phase 3</t>
        </is>
      </c>
      <c r="B39" s="42" t="inlineStr">
        <is>
          <t>CVA6 32-bit SIM-ONLY integration (MOSAIC config pkg: uncached D-side/WT cache/CVXIF off + burst 64→32 AXI→OBI bridge + cva6_sci)</t>
        </is>
      </c>
      <c r="C39" s="42" t="inlineStr">
        <is>
          <t>MILOUDIAS</t>
        </is>
      </c>
      <c r="D39" s="42" t="inlineStr">
        <is>
          <t>W28</t>
        </is>
      </c>
      <c r="E39" s="43" t="inlineStr">
        <is>
          <t>Done</t>
        </is>
      </c>
      <c r="F39" s="42" t="inlineStr">
        <is>
          <t>Jul 11</t>
        </is>
      </c>
      <c r="G39" s="42" t="inlineStr">
        <is>
          <t>Jul 11</t>
        </is>
      </c>
      <c r="H39" s="42" t="inlineStr">
        <is>
          <t>D-65: mosaic_cva6.yaml EXIT SUCCESS (cva6 TITAN orchestrates TDU); 1-patch bring-up; GF180 tapeout exclusion stands</t>
        </is>
      </c>
    </row>
    <row r="40" ht="26.25" customHeight="1" s="33">
      <c r="A40" s="42" t="inlineStr">
        <is>
          <t>Phase 3</t>
        </is>
      </c>
      <c r="B40" s="42" t="inlineStr">
        <is>
          <t>Combined new-cores demo: cva6 TITAN + snitch ATLAS + picorv32 NANO in one SoC</t>
        </is>
      </c>
      <c r="C40" s="42" t="inlineStr">
        <is>
          <t>MILOUDIAS</t>
        </is>
      </c>
      <c r="D40" s="42" t="inlineStr">
        <is>
          <t>W28</t>
        </is>
      </c>
      <c r="E40" s="43" t="inlineStr">
        <is>
          <t>Done</t>
        </is>
      </c>
      <c r="F40" s="42" t="inlineStr">
        <is>
          <t>Jul 11</t>
        </is>
      </c>
      <c r="G40" s="42" t="inlineStr">
        <is>
          <t>Jul 11</t>
        </is>
      </c>
      <c r="H40" s="42" t="inlineStr">
        <is>
          <t>D-66: mosaic_new_cores.yaml EXIT SUCCESS — CVA6 wakes both workers via the TDU, per-slot sentinels verified</t>
        </is>
      </c>
    </row>
    <row r="41" ht="26.25" customHeight="1" s="33">
      <c r="A41" s="42" t="inlineStr">
        <is>
          <t>Phase 3</t>
        </is>
      </c>
      <c r="B41" s="42" t="inlineStr">
        <is>
          <t>test_new_cores.py pytest suite (registry/SCI/config parsing for the 3 new cores)</t>
        </is>
      </c>
      <c r="C41" s="42" t="inlineStr">
        <is>
          <t>MILOUDIAS</t>
        </is>
      </c>
      <c r="D41" s="42" t="inlineStr">
        <is>
          <t>W28</t>
        </is>
      </c>
      <c r="E41" s="43" t="inlineStr">
        <is>
          <t>Done</t>
        </is>
      </c>
      <c r="F41" s="42" t="inlineStr">
        <is>
          <t>Jul 11</t>
        </is>
      </c>
      <c r="G41" s="42" t="inlineStr">
        <is>
          <t>Jul 11</t>
        </is>
      </c>
      <c r="H41" s="42" t="inlineStr">
        <is>
          <t>11/11 pass; total generator pytests now 26</t>
        </is>
      </c>
    </row>
    <row r="42" ht="26.25" customHeight="1" s="33">
      <c r="A42" s="42" t="inlineStr">
        <is>
          <t>Phase 3</t>
        </is>
      </c>
      <c r="B42" s="42" t="inlineStr">
        <is>
          <t>TileLink-C→OBI window bridge (Acquire/GrantData refills, Release(Data) writebacks, uncached Get/Put; DRAM-alias code window + uncached CLINT/PLIC windows)</t>
        </is>
      </c>
      <c r="C42" s="42" t="inlineStr">
        <is>
          <t>MILOUDIAS</t>
        </is>
      </c>
      <c r="D42" s="42" t="inlineStr">
        <is>
          <t>W28</t>
        </is>
      </c>
      <c r="E42" s="43" t="inlineStr">
        <is>
          <t>Done</t>
        </is>
      </c>
      <c r="F42" s="42" t="inlineStr">
        <is>
          <t>Jul 12</t>
        </is>
      </c>
      <c r="G42" s="42" t="inlineStr">
        <is>
          <t>Jul 12</t>
        </is>
      </c>
      <c r="H42" s="42" t="inlineStr">
        <is>
          <t>D-67: xheep_tilelink_to_obi.sv — self-checking unit TB 21/21 under pinned Verilator 5.050</t>
        </is>
      </c>
    </row>
    <row r="43" ht="26.25" customHeight="1" s="33">
      <c r="A43" s="42" t="inlineStr">
        <is>
          <t>Phase 3</t>
        </is>
      </c>
      <c r="B43" s="42" t="inlineStr">
        <is>
          <t>Rocket + BOOM v3 RV64 tiles (chipyard 1.14 hetero extraction, SIM-ONLY) + combined Berkeley demo</t>
        </is>
      </c>
      <c r="C43" s="42" t="inlineStr">
        <is>
          <t>MILOUDIAS</t>
        </is>
      </c>
      <c r="D43" s="42" t="inlineStr">
        <is>
          <t>W28</t>
        </is>
      </c>
      <c r="E43" s="43" t="inlineStr">
        <is>
          <t>Done</t>
        </is>
      </c>
      <c r="F43" s="42" t="inlineStr">
        <is>
          <t>Jul 12</t>
        </is>
      </c>
      <c r="G43" s="42" t="inlineStr">
        <is>
          <t>Jul 12</t>
        </is>
      </c>
      <c r="H43" s="42" t="inlineStr">
        <is>
          <t>D-68/69: 299-module closure vendored (JDK17 + firtool 1.75.0); mosaic_rocket / mosaic_boom / mosaic_berkeley.yaml wake demos EXIT SUCCESS; GF180 tapeout exclusion stands</t>
        </is>
      </c>
    </row>
    <row r="44" ht="26.25" customHeight="1" s="33">
      <c r="A44" s="42" t="inlineStr">
        <is>
          <t>Phase 2</t>
        </is>
      </c>
      <c r="B44" s="42" t="inlineStr">
        <is>
          <t>oh-my-soc harness v2: 9 skills — soc-from-prompt (prompt→SoC gated pipeline), wrapper-smith (9-family classifier + 8-touchpoint scaffold), tb-smith; shared .claude/skills cards + .omp tool shim</t>
        </is>
      </c>
      <c r="C44" s="42" t="inlineStr">
        <is>
          <t>MILOUDIAS</t>
        </is>
      </c>
      <c r="D44" s="42" t="inlineStr">
        <is>
          <t>W28</t>
        </is>
      </c>
      <c r="E44" s="43" t="inlineStr">
        <is>
          <t>Done</t>
        </is>
      </c>
      <c r="F44" s="42" t="inlineStr">
        <is>
          <t>Jul 12</t>
        </is>
      </c>
      <c r="G44" s="42" t="inlineStr">
        <is>
          <t>Jul 12</t>
        </is>
      </c>
      <c r="H44" s="42" t="inlineStr">
        <is>
          <t>D-70/71: prompt→wake-demo EXIT SUCCESS with no LLM; classifier ground-truth clean on all integrated cores; regression sweep extended to 26 steps — ALL PASS</t>
        </is>
      </c>
    </row>
    <row r="45" ht="26.25" customHeight="1" s="33">
      <c r="A45" s="42" t="inlineStr">
        <is>
          <t>Phase 3</t>
        </is>
      </c>
      <c r="B45" s="42" t="inlineStr">
        <is>
          <t>Hazard3 (RP2350 core, AHB-Lite) integrated BY the wrapper-smith/tb-smith mechanism — new ahb_split family</t>
        </is>
      </c>
      <c r="C45" s="42" t="inlineStr">
        <is>
          <t>MILOUDIAS</t>
        </is>
      </c>
      <c r="D45" s="42" t="inlineStr">
        <is>
          <t>W28</t>
        </is>
      </c>
      <c r="E45" s="43" t="inlineStr">
        <is>
          <t>Done</t>
        </is>
      </c>
      <c r="F45" s="42" t="inlineStr">
        <is>
          <t>Jul 12</t>
        </is>
      </c>
      <c r="G45" s="42" t="inlineStr">
        <is>
          <t>Jul 12</t>
        </is>
      </c>
      <c r="H45" s="42" t="inlineStr">
        <is>
          <t>D-72: analyze @1.00 conf → scaffold (45 files + 5 edits) → agent-fill → unit TB PASS (229 cycles) → full-SoC wake demo EXIT SUCCESS; tapeout-eligible (Apache-2.0, pinned 8af99293)</t>
        </is>
      </c>
    </row>
    <row r="46" ht="26.25" customHeight="1" s="33">
      <c r="A46" s="42" t="inlineStr">
        <is>
          <t>Phase 2</t>
        </is>
      </c>
      <c r="B46" s="42" t="inlineStr">
        <is>
          <t>GitHub-core flow + executable UX: wrapper-smith fetch &lt;url&gt;[@commit] (license gate, provenance), auto FuseSoC depend edge + graph smoke, ./oh-my-soc launcher + pyproject, omp-style driver picker (deterministic/claude/omp/api) + agent dispatch</t>
        </is>
      </c>
      <c r="C46" s="42" t="inlineStr">
        <is>
          <t>MILOUDIAS</t>
        </is>
      </c>
      <c r="D46" s="42" t="inlineStr">
        <is>
          <t>W28</t>
        </is>
      </c>
      <c r="E46" s="43" t="inlineStr">
        <is>
          <t>Done</t>
        </is>
      </c>
      <c r="F46" s="42" t="inlineStr">
        <is>
          <t>Jul 12</t>
        </is>
      </c>
      <c r="G46" s="42" t="inlineStr">
        <is>
          <t>Jul 12</t>
        </is>
      </c>
      <c r="H46" s="42" t="inlineStr">
        <is>
          <t>D-73: harness pytest 128; fetch/scaffold/depend/smoke verified live on hazard3; API keys never stored (env-var name only)</t>
        </is>
      </c>
    </row>
    <row r="47" ht="26.25" customHeight="1" s="33">
      <c r="A47" s="42" t="inlineStr">
        <is>
          <t>Phase 3</t>
        </is>
      </c>
      <c r="B47" s="42" t="inlineStr">
        <is>
          <t>Generator hardening: strict shared core registry, heterogeneous per-hart RTL gen (boot/wake/IRQ/PLIC/CLINT/TDU/iDMA), topology-derived fw headers + linkers + flash manifests + authenticated cold boot, content-addressed builds, fail-closed tapeout target</t>
        </is>
      </c>
      <c r="C47" s="42" t="inlineStr">
        <is>
          <t>MILOUDIAS</t>
        </is>
      </c>
      <c r="D47" s="42" t="inlineStr">
        <is>
          <t>W28</t>
        </is>
      </c>
      <c r="E47" s="43" t="inlineStr">
        <is>
          <t>Done</t>
        </is>
      </c>
      <c r="F47" s="42" t="inlineStr">
        <is>
          <t>Jul 13</t>
        </is>
      </c>
      <c r="G47" s="42" t="inlineStr">
        <is>
          <t>Jul 13</t>
        </is>
      </c>
      <c r="H47" s="42" t="inlineStr">
        <is>
          <t>249 generator pytests green; canonical 7-hart 607-file full-SoC Verilator run EXIT SUCCESS; flash-only production boot (boot ROM → SPI-XIP TITAN → CRC-checked worker load → 6-worker TDU dispatch) EXIT SUCCESS</t>
        </is>
      </c>
    </row>
    <row r="48" ht="26.25" customHeight="1" s="33">
      <c r="A48" s="42" t="inlineStr">
        <is>
          <t>Phase 2</t>
        </is>
      </c>
      <c r="B48" s="42" t="inlineStr">
        <is>
          <t>Built-in agent runtime: bounded model/tool/replanning loop, typed tools, approval gates, evidence binding; live event stream + journals; streaming Anthropic/OpenAI adapters; tb-soc-generic flow (every configured hart must report)</t>
        </is>
      </c>
      <c r="C48" s="42" t="inlineStr">
        <is>
          <t>MILOUDIAS</t>
        </is>
      </c>
      <c r="D48" s="42" t="inlineStr">
        <is>
          <t>W28</t>
        </is>
      </c>
      <c r="E48" s="43" t="inlineStr">
        <is>
          <t>Done</t>
        </is>
      </c>
      <c r="F48" s="42" t="inlineStr">
        <is>
          <t>Jul 13</t>
        </is>
      </c>
      <c r="G48" s="42" t="inlineStr">
        <is>
          <t>Jul 13</t>
        </is>
      </c>
      <c r="H48" s="42" t="inlineStr">
        <is>
          <t>harness/agent.py + agent_tools.py + events.py + EVALUATION.md; integration completion bound to fresh evidence (analysis, apply, FuseSoC smoke, unit TB PASS, generic full-SoC run); test_agent_runtime.py suite</t>
        </is>
      </c>
    </row>
    <row r="49" ht="26.25" customHeight="1" s="33">
      <c r="A49" s="42" t="inlineStr">
        <is>
          <t>Phase 2</t>
        </is>
      </c>
      <c r="B49" s="42" t="inlineStr">
        <is>
          <t>Beginner tutorial: generator → harness → opencode/go walkthroughs + verified tutorial_soc.yaml + executable run_all.sh</t>
        </is>
      </c>
      <c r="C49" s="42" t="inlineStr">
        <is>
          <t>MILOUDIAS</t>
        </is>
      </c>
      <c r="D49" s="42" t="inlineStr">
        <is>
          <t>W28</t>
        </is>
      </c>
      <c r="E49" s="43" t="inlineStr">
        <is>
          <t>Done</t>
        </is>
      </c>
      <c r="F49" s="42" t="inlineStr">
        <is>
          <t>Jul 15</t>
        </is>
      </c>
      <c r="G49" s="42" t="inlineStr">
        <is>
          <t>Jul 15</t>
        </is>
      </c>
      <c r="H49" s="42" t="inlineStr">
        <is>
          <t>tutorial/{01-generator,02-harness,03-opencode-go,troubleshooting}.md + inspect_manifest.py; plus rocket/boom TITAN configs</t>
        </is>
      </c>
    </row>
    <row r="50" ht="26.25" customHeight="1" s="33">
      <c r="A50" s="42" t="inlineStr">
        <is>
          <t>Phase 2</t>
        </is>
      </c>
      <c r="B50" s="42" t="inlineStr">
        <is>
          <t>General multicore SoC generator roadmap — proposition for a next-generation generator approach</t>
        </is>
      </c>
      <c r="C50" s="42" t="inlineStr">
        <is>
          <t>MILOUDIAS</t>
        </is>
      </c>
      <c r="D50" s="42" t="inlineStr">
        <is>
          <t>W29</t>
        </is>
      </c>
      <c r="E50" s="43" t="inlineStr">
        <is>
          <t>Done</t>
        </is>
      </c>
      <c r="F50" s="42" t="inlineStr">
        <is>
          <t>Jul 17</t>
        </is>
      </c>
      <c r="G50" s="42" t="inlineStr">
        <is>
          <t>Jul 17</t>
        </is>
      </c>
      <c r="H50" s="42" t="inlineStr">
        <is>
          <t>docs/general_multicore_soc_generator_roadmap.md (~1500 lines) + architecture diagram (mmd/svg/png); decision pending team review</t>
        </is>
      </c>
    </row>
    <row r="51" ht="26.25" customHeight="1" s="33">
      <c r="A51" s="42" t="inlineStr">
        <is>
          <t>Phase 2</t>
        </is>
      </c>
      <c r="B51" s="42" t="inlineStr">
        <is>
          <t>tb-matrix skill: combination-coverage testing of the SoC integration space — axes derived live from the core registry (cores × roles × counts × fabrics × ISA/param variants × scheduler × memory × peripherals × topology shape), deterministic pairwise covering array + curated sim corners, validate/render/sim tiers with crash-safe resumable report</t>
        </is>
      </c>
      <c r="C51" s="42" t="inlineStr">
        <is>
          <t>MILOUDIAS</t>
        </is>
      </c>
      <c r="D51" s="42" t="inlineStr">
        <is>
          <t>W29</t>
        </is>
      </c>
      <c r="E51" s="43" t="inlineStr">
        <is>
          <t>Done</t>
        </is>
      </c>
      <c r="F51" s="42" t="inlineStr">
        <is>
          <t>Jul 18</t>
        </is>
      </c>
      <c r="G51" s="42" t="inlineStr">
        <is>
          <t>Jul 19</t>
        </is>
      </c>
      <c r="H51" s="42" t="inlineStr">
        <is>
          <t>248/248 validate-tier pass; render pass; 3 sim EXIT SUCCESS incl. 2 never-tested combos (cv32e20 as dormant TDU worker, cv32e40p in a multicore SoC); 68 impossible pairs reported blocked-with-reason; pytest 439 (28 new); wired into CLI + agent runtime + omp shim + skill card</t>
        </is>
      </c>
    </row>
    <row r="52" ht="26.25" customHeight="1" s="33">
      <c r="A52" s="42" t="inlineStr">
        <is>
          <t>Phase 3</t>
        </is>
      </c>
      <c r="B52" s="42" t="inlineStr">
        <is>
          <t>Selectable platform blocks: soc.dma/debug/plic/spi_mode/multicore_timer/gpio_ao/ao_rv_timer/ao_fast_intr</t>
        </is>
      </c>
      <c r="C52" s="42" t="inlineStr">
        <is>
          <t>MILOUDIAS</t>
        </is>
      </c>
      <c r="D52" s="42" t="inlineStr">
        <is>
          <t>W31</t>
        </is>
      </c>
      <c r="E52" s="43" t="inlineStr">
        <is>
          <t>Done</t>
        </is>
      </c>
      <c r="F52" s="42" t="inlineStr">
        <is>
          <t>Jul 29</t>
        </is>
      </c>
      <c r="G52" s="42" t="inlineStr">
        <is>
          <t>Jul 31</t>
        </is>
      </c>
      <c r="H52" s="42" t="inlineStr">
        <is>
          <t>8 new schema knobs + template gates &amp; tie-offs; 71 tests in test_dma_selection.py; suite 636 green</t>
        </is>
      </c>
    </row>
    <row r="53" ht="26.25" customHeight="1" s="33">
      <c r="A53" s="42" t="inlineStr">
        <is>
          <t>Phase 3</t>
        </is>
      </c>
      <c r="B53" s="42" t="inlineStr">
        <is>
          <t>GF180 area study: measured reduction 3.903 -&gt; 1.249 mm2 (-68%)</t>
        </is>
      </c>
      <c r="C53" s="42" t="inlineStr">
        <is>
          <t>MILOUDIAS</t>
        </is>
      </c>
      <c r="D53" s="42" t="inlineStr">
        <is>
          <t>W31</t>
        </is>
      </c>
      <c r="E53" s="43" t="inlineStr">
        <is>
          <t>Done</t>
        </is>
      </c>
      <c r="F53" s="42" t="inlineStr">
        <is>
          <t>Jul 29</t>
        </is>
      </c>
      <c r="G53" s="42" t="inlineStr">
        <is>
          <t>Jul 31</t>
        </is>
      </c>
      <c r="H53" s="42" t="inlineStr">
        <is>
          <t>docs/area_study_gf180_min_soc.md 8c-8g; every step measured (yosys 0.62+slang, tt/25C/5v00)</t>
        </is>
      </c>
    </row>
    <row r="54" ht="26.25" customHeight="1" s="33">
      <c r="A54" s="42" t="inlineStr">
        <is>
          <t>Phase 3</t>
        </is>
      </c>
      <c r="B54" s="42" t="inlineStr">
        <is>
          <t>Chipathon MPW Block A: 22-pin macro, routed GDS in 1117.5um slot</t>
        </is>
      </c>
      <c r="C54" s="42" t="inlineStr">
        <is>
          <t>MILOUDIAS</t>
        </is>
      </c>
      <c r="D54" s="42" t="inlineStr">
        <is>
          <t>W31</t>
        </is>
      </c>
      <c r="E54" s="43" t="inlineStr">
        <is>
          <t>Done</t>
        </is>
      </c>
      <c r="F54" s="42" t="inlineStr">
        <is>
          <t>Jul 30</t>
        </is>
      </c>
      <c r="G54" s="42" t="inlineStr">
        <is>
          <t>Jul 31</t>
        </is>
      </c>
      <c r="H54" s="42" t="inlineStr">
        <is>
          <t>mosaic_block_a.sv; die 1117.5x1117.5um=1.2488mm2; 0 routing DRC, 0 antenna; setup +20.67ns hold +0.075ns</t>
        </is>
      </c>
    </row>
    <row r="55" ht="26.25" customHeight="1" s="33">
      <c r="A55" s="42" t="inlineStr">
        <is>
          <t>Phase 3</t>
        </is>
      </c>
      <c r="B55" s="42" t="inlineStr">
        <is>
          <t>GF180 library findings: no latch cell, unattributed SRAM blackboxes, unmapped tristates</t>
        </is>
      </c>
      <c r="C55" s="42" t="inlineStr">
        <is>
          <t>MILOUDIAS</t>
        </is>
      </c>
      <c r="D55" s="42" t="inlineStr">
        <is>
          <t>W31</t>
        </is>
      </c>
      <c r="E55" s="43" t="inlineStr">
        <is>
          <t>Done</t>
        </is>
      </c>
      <c r="F55" s="42" t="inlineStr">
        <is>
          <t>Jul 30</t>
        </is>
      </c>
      <c r="G55" s="42" t="inlineStr">
        <is>
          <t>Jul 31</t>
        </is>
      </c>
      <c r="H55" s="42" t="inlineStr">
        <is>
          <t>hw/asic/gf180/{tc_clk,gf180_sram_blackbox,sram_wrapper}.sv - icgtp_1 ICG bind, (* blackbox *), bufz_4</t>
        </is>
      </c>
    </row>
    <row r="56" ht="26.25" customHeight="1" s="33">
      <c r="A56" s="42" t="inlineStr">
        <is>
          <t>Phase 3</t>
        </is>
      </c>
      <c r="B56" s="42" t="inlineStr">
        <is>
          <t>PDN core ring on Metal2/3 conflicts with router layer range</t>
        </is>
      </c>
      <c r="C56" s="42" t="inlineStr">
        <is>
          <t>MILOUDIAS</t>
        </is>
      </c>
      <c r="D56" s="42" t="inlineStr">
        <is>
          <t>W31</t>
        </is>
      </c>
      <c r="E56" s="43" t="inlineStr">
        <is>
          <t>Done</t>
        </is>
      </c>
      <c r="F56" s="42" t="inlineStr">
        <is>
          <t>Jul 30</t>
        </is>
      </c>
      <c r="G56" s="42" t="inlineStr">
        <is>
          <t>Jul 30</t>
        </is>
      </c>
      <c r="H56" s="42" t="inlineStr">
        <is>
          <t>All detailed-routing violations were signal-to-VDD shorts on Metal3 along the ring; ring removed</t>
        </is>
      </c>
    </row>
    <row r="57" ht="26.25" customHeight="1" s="33">
      <c r="A57" s="42" t="inlineStr">
        <is>
          <t>Phase 3</t>
        </is>
      </c>
      <c r="B57" s="42" t="inlineStr">
        <is>
          <t>DRC + LVS signoff on Block A GDS</t>
        </is>
      </c>
      <c r="C57" s="42" t="inlineStr">
        <is>
          <t>MILOUDIAS</t>
        </is>
      </c>
      <c r="D57" s="42" t="inlineStr">
        <is>
          <t>W31</t>
        </is>
      </c>
      <c r="E57" s="43" t="inlineStr">
        <is>
          <t>Done</t>
        </is>
      </c>
      <c r="F57" s="42" t="inlineStr">
        <is>
          <t>Aug 1</t>
        </is>
      </c>
      <c r="G57" s="42" t="inlineStr">
        <is>
          <t>Aug 1</t>
        </is>
      </c>
      <c r="H57" s="42" t="inlineStr">
        <is>
          <t>Ran 2026-08-01 with nothing skipped: Magic DRC 0, KLayout DRC 0, Netgen LVS "circuits match uniquely", XOR 0, antenna 0, IR drop 104 uV. Re-hardened Aug 2 with the bug-31 fix, all decks clean again</t>
        </is>
      </c>
    </row>
    <row r="58" ht="26.25" customHeight="1" s="33">
      <c r="A58" s="42" t="inlineStr">
        <is>
          <t>Phase 3</t>
        </is>
      </c>
      <c r="B58" s="42" t="inlineStr">
        <is>
          <t>Block A power delivery (PSM-0069) unresolved</t>
        </is>
      </c>
      <c r="C58" s="42" t="inlineStr">
        <is>
          <t>MILOUDIAS</t>
        </is>
      </c>
      <c r="D58" s="42" t="inlineStr">
        <is>
          <t>W31</t>
        </is>
      </c>
      <c r="E58" s="43" t="inlineStr">
        <is>
          <t>Not Started</t>
        </is>
      </c>
      <c r="F58" s="42" t="inlineStr">
        <is>
          <t>Aug 1</t>
        </is>
      </c>
      <c r="G58" s="42" t="inlineStr">
        <is>
          <t>Aug 21</t>
        </is>
      </c>
      <c r="H58" s="42" t="inlineStr">
        <is>
          <t>PDN_CORE_RING:false leaves PSM without a power source; IR drop unanalysed</t>
        </is>
      </c>
    </row>
    <row r="59" ht="26.25" customHeight="1" s="33">
      <c r="A59" s="42" t="inlineStr">
        <is>
          <t>Phase 3</t>
        </is>
      </c>
      <c r="B59" s="42" t="inlineStr">
        <is>
          <t>Confirm Block A pin contract with MPW integrator</t>
        </is>
      </c>
      <c r="C59" s="42" t="inlineStr">
        <is>
          <t>MILOUDIAS</t>
        </is>
      </c>
      <c r="D59" s="42" t="inlineStr">
        <is>
          <t>W31</t>
        </is>
      </c>
      <c r="E59" s="43" t="inlineStr">
        <is>
          <t>Not Started</t>
        </is>
      </c>
      <c r="F59" s="42" t="inlineStr">
        <is>
          <t>Aug 1</t>
        </is>
      </c>
      <c r="G59" s="42" t="inlineStr">
        <is>
          <t>Aug 7</t>
        </is>
      </c>
      <c r="H59" s="42" t="inlineStr">
        <is>
          <t>22 pins; bufz_4 QSPI drive is a placeholder; status_o[6:0] must be bonded (only observability, debug:false)</t>
        </is>
      </c>
    </row>
    <row r="60" ht="26.25" customHeight="1" s="33">
      <c r="A60" s="42" t="inlineStr">
        <is>
          <t>Phase 3</t>
        </is>
      </c>
      <c r="B60" s="42" t="inlineStr">
        <is>
          <t>LibreLane filelist resolved at run time from the FuseSoC manifest — hardening reproducible on any machine</t>
        </is>
      </c>
      <c r="C60" s="42" t="inlineStr">
        <is>
          <t>MILOUDIAS</t>
        </is>
      </c>
      <c r="D60" s="42" t="inlineStr">
        <is>
          <t>W31</t>
        </is>
      </c>
      <c r="E60" s="43" t="inlineStr">
        <is>
          <t>Done</t>
        </is>
      </c>
      <c r="F60" s="42" t="inlineStr">
        <is>
          <t>Aug 3</t>
        </is>
      </c>
      <c r="G60" s="42" t="inlineStr">
        <is>
          <t>Aug 3</t>
        </is>
      </c>
      <c r="H60" s="42" t="inlineStr">
        <is>
          <t>flow/librelane/scripts/gen_filelist.py emits VERILOG_FILES/VERILOG_INCLUDE_DIRS from the manifest; 526 absolute build paths out of the two configs (767 -&gt; 241 and 657 -&gt; 131 lines), stale-bundle hazard closed (14 bundles on disk would have hardened the wrong design silently). --verify 507/507 identical; re-run 854 954 um2 / 33 852 cells / 0 check errors, same as signoff. 8 tests in test_librelane_filelist.py; suite 661 green (was 653)</t>
        </is>
      </c>
    </row>
    <row r="61" ht="26.25" customHeight="1" s="33"/>
    <row r="62" ht="26.25" customHeight="1" s="33"/>
    <row r="63" ht="26.25" customHeight="1" s="33"/>
    <row r="64" ht="26.25" customHeight="1" s="33"/>
    <row r="65" ht="26.25" customHeight="1" s="33"/>
    <row r="66" ht="26.25" customHeight="1" s="33"/>
    <row r="67" ht="26.25" customHeight="1" s="33"/>
    <row r="68" ht="26.25" customHeight="1" s="33"/>
    <row r="69" ht="26.25" customHeight="1" s="33"/>
    <row r="70" ht="26.25" customHeight="1" s="33"/>
    <row r="71" ht="26.25" customHeight="1" s="33"/>
    <row r="72" ht="26.25" customHeight="1" s="33"/>
    <row r="73" ht="26.25" customHeight="1" s="33"/>
    <row r="74" ht="26.25" customHeight="1" s="33"/>
    <row r="75" ht="26.25" customHeight="1" s="33"/>
    <row r="76" ht="26.25" customHeight="1" s="33"/>
    <row r="77" ht="26.25" customHeight="1" s="33"/>
    <row r="78" ht="26.25" customHeight="1" s="33"/>
    <row r="79" ht="26.25" customHeight="1" s="33"/>
    <row r="80" ht="26.25" customHeight="1" s="33"/>
    <row r="81" ht="26.25" customHeight="1" s="33"/>
    <row r="82" ht="26.25" customHeight="1" s="33"/>
    <row r="83" ht="26.25" customHeight="1" s="33"/>
    <row r="84" ht="26.25" customHeight="1" s="33"/>
    <row r="85" ht="26.25" customHeight="1" s="33"/>
    <row r="86" ht="26.25" customHeight="1" s="33"/>
    <row r="87" ht="26.25" customHeight="1" s="33"/>
    <row r="88" ht="26.25" customHeight="1" s="33"/>
    <row r="89" ht="26.25" customHeight="1" s="33"/>
    <row r="90" ht="26.25" customHeight="1" s="33"/>
    <row r="91" ht="26.25" customHeight="1" s="33"/>
    <row r="92" ht="26.25" customHeight="1" s="33"/>
    <row r="93" ht="26.25" customHeight="1" s="33"/>
    <row r="94" ht="26.25" customHeight="1" s="33"/>
    <row r="95" ht="26.25" customHeight="1" s="33"/>
    <row r="96" ht="26.25" customHeight="1" s="33"/>
    <row r="97" ht="26.25" customHeight="1" s="33"/>
    <row r="98" ht="26.25" customHeight="1" s="33"/>
    <row r="99" ht="26.25" customHeight="1" s="33"/>
    <row r="100" ht="26.2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A2:H2"/>
    <mergeCell ref="A1:H1"/>
  </mergeCells>
  <dataValidations count="1">
    <dataValidation sqref="E5:E41" showDropDown="0" showInputMessage="0" showErrorMessage="0" allowBlank="1" type="list">
      <formula1>"Done,In Progress,Blocked,Not Started"</formula1>
    </dataValidation>
  </dataValidation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3.71" customWidth="1" style="33" min="1" max="1"/>
    <col width="7.71" customWidth="1" style="33" min="2" max="2"/>
    <col width="32.14" customWidth="1" style="33" min="3" max="3"/>
    <col width="13.29" customWidth="1" style="33" min="4" max="4"/>
    <col width="42.86" customWidth="1" style="33" min="5" max="5"/>
    <col width="13.71" customWidth="1" style="33" min="6" max="6"/>
    <col width="8.710000000000001" customWidth="1" style="33" min="7" max="26"/>
  </cols>
  <sheetData>
    <row r="1" ht="26.25" customHeight="1" s="33">
      <c r="A1" s="41" t="inlineStr">
        <is>
          <t>Official Chipathon 2026 Schedule (Track D)</t>
        </is>
      </c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6.25" customHeight="1" s="33">
      <c r="A2" s="26" t="inlineStr">
        <is>
          <t>Source: github.com/sscs-ose/sscs-chipathon-2026/schedule · all dates subject to change · weekly report due each Wednesday</t>
        </is>
      </c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6.25" customHeight="1" s="33"/>
    <row r="4" ht="26.25" customHeight="1" s="33">
      <c r="A4" s="28" t="inlineStr">
        <is>
          <t>Week</t>
        </is>
      </c>
      <c r="B4" s="28" t="inlineStr">
        <is>
          <t>Date</t>
        </is>
      </c>
      <c r="C4" s="28" t="inlineStr">
        <is>
          <t>Official Event</t>
        </is>
      </c>
      <c r="D4" s="28" t="inlineStr">
        <is>
          <t>Phase</t>
        </is>
      </c>
      <c r="E4" s="28" t="inlineStr">
        <is>
          <t>Our Track D Equivalent / Action</t>
        </is>
      </c>
      <c r="F4" s="28" t="inlineStr">
        <is>
          <t>Our Milestone</t>
        </is>
      </c>
    </row>
    <row r="5" ht="26.25" customHeight="1" s="33">
      <c r="A5" s="34" t="inlineStr">
        <is>
          <t>W19</t>
        </is>
      </c>
      <c r="B5" s="34" t="inlineStr">
        <is>
          <t>May 8</t>
        </is>
      </c>
      <c r="C5" s="34" t="inlineStr">
        <is>
          <t>Kick-off Meeting</t>
        </is>
      </c>
      <c r="D5" s="34" t="inlineStr">
        <is>
          <t>1 Setup</t>
        </is>
      </c>
      <c r="E5" s="34" t="inlineStr">
        <is>
          <t>(pre-team) intro to phases</t>
        </is>
      </c>
      <c r="F5" s="34" t="inlineStr">
        <is>
          <t>—</t>
        </is>
      </c>
    </row>
    <row r="6" ht="26.25" customHeight="1" s="33">
      <c r="A6" s="34" t="inlineStr">
        <is>
          <t>W20</t>
        </is>
      </c>
      <c r="B6" s="34" t="inlineStr">
        <is>
          <t>May 15</t>
        </is>
      </c>
      <c r="C6" s="34" t="inlineStr">
        <is>
          <t>Tool Installation</t>
        </is>
      </c>
      <c r="D6" s="34" t="inlineStr">
        <is>
          <t>1 Setup</t>
        </is>
      </c>
      <c r="E6" s="34" t="inlineStr">
        <is>
          <t>Librelane / DRC-LVS tutorials</t>
        </is>
      </c>
      <c r="F6" s="34" t="inlineStr">
        <is>
          <t>—</t>
        </is>
      </c>
    </row>
    <row r="7" ht="26.25" customHeight="1" s="33">
      <c r="A7" s="34" t="inlineStr">
        <is>
          <t>W21</t>
        </is>
      </c>
      <c r="B7" s="34" t="inlineStr">
        <is>
          <t>May 22</t>
        </is>
      </c>
      <c r="C7" s="34" t="inlineStr">
        <is>
          <t>Tutorial Sessions</t>
        </is>
      </c>
      <c r="D7" s="34" t="inlineStr">
        <is>
          <t>1 Setup</t>
        </is>
      </c>
      <c r="E7" s="34" t="inlineStr">
        <is>
          <t>MOSbius / gLayout</t>
        </is>
      </c>
      <c r="F7" s="34" t="inlineStr">
        <is>
          <t>—</t>
        </is>
      </c>
    </row>
    <row r="8" ht="26.25" customHeight="1" s="33">
      <c r="A8" s="34" t="inlineStr">
        <is>
          <t>W22</t>
        </is>
      </c>
      <c r="B8" s="34" t="inlineStr">
        <is>
          <t>May 29</t>
        </is>
      </c>
      <c r="C8" s="34" t="inlineStr">
        <is>
          <t>Tutorial Sessions</t>
        </is>
      </c>
      <c r="D8" s="34" t="inlineStr">
        <is>
          <t>1 Setup</t>
        </is>
      </c>
      <c r="E8" s="34" t="inlineStr">
        <is>
          <t>Charlib / ORFS / analog flows</t>
        </is>
      </c>
      <c r="F8" s="34" t="inlineStr">
        <is>
          <t>—</t>
        </is>
      </c>
    </row>
    <row r="9" ht="26.25" customHeight="1" s="33">
      <c r="A9" s="34" t="inlineStr">
        <is>
          <t>W23</t>
        </is>
      </c>
      <c r="B9" s="34" t="inlineStr">
        <is>
          <t>Jun 5</t>
        </is>
      </c>
      <c r="C9" s="34" t="inlineStr">
        <is>
          <t>Team Formation Deadline</t>
        </is>
      </c>
      <c r="D9" s="34" t="inlineStr">
        <is>
          <t>2 Planning</t>
        </is>
      </c>
      <c r="E9" s="34" t="inlineStr">
        <is>
          <t>Chip design with AI/LLM (Mehdi)</t>
        </is>
      </c>
      <c r="F9" s="34" t="inlineStr">
        <is>
          <t>—</t>
        </is>
      </c>
    </row>
    <row r="10" ht="26.25" customHeight="1" s="33">
      <c r="A10" s="34" t="inlineStr">
        <is>
          <t>W24◄</t>
        </is>
      </c>
      <c r="B10" s="34" t="inlineStr">
        <is>
          <t>Jun 12</t>
        </is>
      </c>
      <c r="C10" s="34" t="inlineStr">
        <is>
          <t>Project Proposal Review</t>
        </is>
      </c>
      <c r="D10" s="34" t="inlineStr">
        <is>
          <t>2 Planning</t>
        </is>
      </c>
      <c r="E10" s="34" t="inlineStr">
        <is>
          <t>Pitched proposal; begin build</t>
        </is>
      </c>
      <c r="F10" s="34" t="inlineStr">
        <is>
          <t>M0 ✓</t>
        </is>
      </c>
    </row>
    <row r="11" ht="26.25" customHeight="1" s="33">
      <c r="A11" s="34" t="inlineStr">
        <is>
          <t>W25</t>
        </is>
      </c>
      <c r="B11" s="34" t="inlineStr">
        <is>
          <t>Jun 19</t>
        </is>
      </c>
      <c r="C11" s="34" t="inlineStr">
        <is>
          <t>Advanced Topics</t>
        </is>
      </c>
      <c r="D11" s="34" t="inlineStr">
        <is>
          <t>2 Planning</t>
        </is>
      </c>
      <c r="E11" s="34" t="inlineStr">
        <is>
          <t>Schema v0 + SERV SCI wrapper</t>
        </is>
      </c>
      <c r="F11" s="34" t="inlineStr">
        <is>
          <t>→ M1</t>
        </is>
      </c>
    </row>
    <row r="12" ht="26.25" customHeight="1" s="33">
      <c r="A12" s="34" t="inlineStr">
        <is>
          <t>W26</t>
        </is>
      </c>
      <c r="B12" s="34" t="inlineStr">
        <is>
          <t>Jun 26</t>
        </is>
      </c>
      <c r="C12" s="34" t="inlineStr">
        <is>
          <t>Analog Design Ideas</t>
        </is>
      </c>
      <c r="D12" s="34" t="inlineStr">
        <is>
          <t>2 Planning</t>
        </is>
      </c>
      <c r="E12" s="34" t="inlineStr">
        <is>
          <t>Formal verify wrappers; config-author scaffold</t>
        </is>
      </c>
      <c r="F12" s="34" t="inlineStr">
        <is>
          <t>M1</t>
        </is>
      </c>
    </row>
    <row r="13" ht="26.25" customHeight="1" s="33">
      <c r="A13" s="34" t="inlineStr">
        <is>
          <t>W27</t>
        </is>
      </c>
      <c r="B13" s="34" t="inlineStr">
        <is>
          <t>Jul 3</t>
        </is>
      </c>
      <c r="C13" s="34" t="inlineStr">
        <is>
          <t>Schematic Review</t>
        </is>
      </c>
      <c r="D13" s="34" t="inlineStr">
        <is>
          <t>3 Design/Sim</t>
        </is>
      </c>
      <c r="E13" s="34" t="inlineStr">
        <is>
          <t>RTL elaboration + config schema review</t>
        </is>
      </c>
      <c r="F13" s="34" t="inlineStr">
        <is>
          <t>M2</t>
        </is>
      </c>
    </row>
    <row r="14" ht="26.25" customHeight="1" s="33">
      <c r="A14" s="34" t="inlineStr">
        <is>
          <t>W28</t>
        </is>
      </c>
      <c r="B14" s="34" t="inlineStr">
        <is>
          <t>Jul 10</t>
        </is>
      </c>
      <c r="C14" s="34" t="inlineStr">
        <is>
          <t>Simulation Review (blocks)</t>
        </is>
      </c>
      <c r="D14" s="34" t="inlineStr">
        <is>
          <t>3 Design/Sim</t>
        </is>
      </c>
      <c r="E14" s="34" t="inlineStr">
        <is>
          <t>Per-core cocotb verification</t>
        </is>
      </c>
      <c r="F14" s="34" t="inlineStr">
        <is>
          <t>M3</t>
        </is>
      </c>
    </row>
    <row r="15" ht="26.25" customHeight="1" s="33">
      <c r="A15" s="34" t="inlineStr">
        <is>
          <t>W29</t>
        </is>
      </c>
      <c r="B15" s="34" t="inlineStr">
        <is>
          <t>Jul 17</t>
        </is>
      </c>
      <c r="C15" s="34" t="inlineStr">
        <is>
          <t>Sim Review (top) + GO/NO-GO</t>
        </is>
      </c>
      <c r="D15" s="34" t="inlineStr">
        <is>
          <t>3 Design/Sim</t>
        </is>
      </c>
      <c r="E15" s="34" t="inlineStr">
        <is>
          <t>Full-SoC sim + scheduler demo</t>
        </is>
      </c>
      <c r="F15" s="35" t="inlineStr">
        <is>
          <t>M4 CRITICAL</t>
        </is>
      </c>
    </row>
    <row r="16" ht="26.25" customHeight="1" s="33">
      <c r="A16" s="34" t="inlineStr">
        <is>
          <t>W30</t>
        </is>
      </c>
      <c r="B16" s="34" t="inlineStr">
        <is>
          <t>Jul 24</t>
        </is>
      </c>
      <c r="C16" s="34" t="inlineStr">
        <is>
          <t>Layout Tutorial (DRC/LVS/PEX)</t>
        </is>
      </c>
      <c r="D16" s="34" t="inlineStr">
        <is>
          <t>4 Layout</t>
        </is>
      </c>
      <c r="E16" s="34" t="inlineStr">
        <is>
          <t>Full Librelane flow to GDSII</t>
        </is>
      </c>
      <c r="F16" s="34" t="inlineStr">
        <is>
          <t>—</t>
        </is>
      </c>
    </row>
    <row r="17" ht="26.25" customHeight="1" s="33">
      <c r="A17" s="34" t="inlineStr">
        <is>
          <t>W31</t>
        </is>
      </c>
      <c r="B17" s="34" t="inlineStr">
        <is>
          <t>Jul 31</t>
        </is>
      </c>
      <c r="C17" s="34" t="inlineStr">
        <is>
          <t>DRC Dry-run → GDS to partner</t>
        </is>
      </c>
      <c r="D17" s="34" t="inlineStr">
        <is>
          <t>4 Layout</t>
        </is>
      </c>
      <c r="E17" s="34" t="inlineStr">
        <is>
          <t>First DRC-clean GDSII; STA @50MHz</t>
        </is>
      </c>
      <c r="F17" s="34" t="inlineStr">
        <is>
          <t>M5</t>
        </is>
      </c>
    </row>
    <row r="18" ht="26.25" customHeight="1" s="33">
      <c r="A18" s="34" t="inlineStr">
        <is>
          <t>W32</t>
        </is>
      </c>
      <c r="B18" s="34" t="inlineStr">
        <is>
          <t>Aug 7</t>
        </is>
      </c>
      <c r="C18" s="34" t="inlineStr">
        <is>
          <t>Integration Tutorial</t>
        </is>
      </c>
      <c r="D18" s="34" t="inlineStr">
        <is>
          <t>4 Layout</t>
        </is>
      </c>
      <c r="E18" s="34" t="inlineStr">
        <is>
          <t>Padframe + ESD + top integration</t>
        </is>
      </c>
      <c r="F18" s="34" t="inlineStr">
        <is>
          <t>—</t>
        </is>
      </c>
    </row>
    <row r="19" ht="26.25" customHeight="1" s="33">
      <c r="A19" s="34" t="inlineStr">
        <is>
          <t>W33</t>
        </is>
      </c>
      <c r="B19" s="34" t="inlineStr">
        <is>
          <t>Aug 14</t>
        </is>
      </c>
      <c r="C19" s="34" t="inlineStr">
        <is>
          <t>Layout Review (blocks)</t>
        </is>
      </c>
      <c r="D19" s="34" t="inlineStr">
        <is>
          <t>4 Layout</t>
        </is>
      </c>
      <c r="E19" s="34" t="inlineStr">
        <is>
          <t>drc-triage live; log metrics</t>
        </is>
      </c>
      <c r="F19" s="34" t="inlineStr">
        <is>
          <t>—</t>
        </is>
      </c>
    </row>
    <row r="20" ht="26.25" customHeight="1" s="33">
      <c r="A20" s="34" t="inlineStr">
        <is>
          <t>W34</t>
        </is>
      </c>
      <c r="B20" s="34" t="inlineStr">
        <is>
          <t>Aug 21</t>
        </is>
      </c>
      <c r="C20" s="34" t="inlineStr">
        <is>
          <t>Layout Review (top) + DRC dry-run</t>
        </is>
      </c>
      <c r="D20" s="34" t="inlineStr">
        <is>
          <t>4 Layout</t>
        </is>
      </c>
      <c r="E20" s="34" t="inlineStr">
        <is>
          <t>Top-level DRC + LVS clean; doc-gen</t>
        </is>
      </c>
      <c r="F20" s="34" t="inlineStr">
        <is>
          <t>M6</t>
        </is>
      </c>
    </row>
    <row r="21" ht="26.25" customHeight="1" s="33">
      <c r="A21" s="34" t="inlineStr">
        <is>
          <t>W35</t>
        </is>
      </c>
      <c r="B21" s="34" t="inlineStr">
        <is>
          <t>Aug 28</t>
        </is>
      </c>
      <c r="C21" s="35" t="inlineStr">
        <is>
          <t>Verification + FINAL Submission</t>
        </is>
      </c>
      <c r="D21" s="34" t="inlineStr">
        <is>
          <t>4 Layout</t>
        </is>
      </c>
      <c r="E21" s="34" t="inlineStr">
        <is>
          <t>Final DRC-clean GDSII + metrics</t>
        </is>
      </c>
      <c r="F21" s="35" t="inlineStr">
        <is>
          <t>M7 FINAL</t>
        </is>
      </c>
    </row>
    <row r="22" ht="26.25" customHeight="1" s="33">
      <c r="A22" s="34" t="inlineStr">
        <is>
          <t>TBD</t>
        </is>
      </c>
      <c r="B22" s="34" t="inlineStr">
        <is>
          <t>TBD</t>
        </is>
      </c>
      <c r="C22" s="34" t="inlineStr">
        <is>
          <t>Chips available / test upload</t>
        </is>
      </c>
      <c r="D22" s="34" t="inlineStr">
        <is>
          <t>5 Mfg</t>
        </is>
      </c>
      <c r="E22" s="34" t="inlineStr">
        <is>
          <t>Bring-up test plan ready</t>
        </is>
      </c>
      <c r="F22" s="34" t="inlineStr">
        <is>
          <t>—</t>
        </is>
      </c>
    </row>
    <row r="23" ht="26.25" customHeight="1" s="33"/>
    <row r="24" ht="26.25" customHeight="1" s="33"/>
    <row r="25" ht="26.25" customHeight="1" s="33"/>
    <row r="26" ht="26.25" customHeight="1" s="33"/>
    <row r="27" ht="26.25" customHeight="1" s="33"/>
    <row r="28" ht="26.25" customHeight="1" s="33"/>
    <row r="29" ht="26.25" customHeight="1" s="33"/>
    <row r="30" ht="26.25" customHeight="1" s="33"/>
    <row r="31" ht="26.25" customHeight="1" s="33"/>
    <row r="32" ht="26.25" customHeight="1" s="33"/>
    <row r="33" ht="26.25" customHeight="1" s="33"/>
    <row r="34" ht="26.25" customHeight="1" s="33"/>
    <row r="35" ht="26.25" customHeight="1" s="33"/>
    <row r="36" ht="26.25" customHeight="1" s="33"/>
    <row r="37" ht="26.25" customHeight="1" s="33"/>
    <row r="38" ht="26.25" customHeight="1" s="33"/>
    <row r="39" ht="26.25" customHeight="1" s="33"/>
    <row r="40" ht="26.25" customHeight="1" s="33"/>
    <row r="41" ht="26.25" customHeight="1" s="33"/>
    <row r="42" ht="26.25" customHeight="1" s="33"/>
    <row r="43" ht="26.25" customHeight="1" s="33"/>
    <row r="44" ht="26.25" customHeight="1" s="33"/>
    <row r="45" ht="26.25" customHeight="1" s="33"/>
    <row r="46" ht="26.25" customHeight="1" s="33"/>
    <row r="47" ht="26.25" customHeight="1" s="33"/>
    <row r="48" ht="26.25" customHeight="1" s="33"/>
    <row r="49" ht="26.25" customHeight="1" s="33"/>
    <row r="50" ht="26.25" customHeight="1" s="33"/>
    <row r="51" ht="26.25" customHeight="1" s="33"/>
    <row r="52" ht="26.25" customHeight="1" s="33"/>
    <row r="53" ht="26.25" customHeight="1" s="33"/>
    <row r="54" ht="26.25" customHeight="1" s="33"/>
    <row r="55" ht="26.25" customHeight="1" s="33"/>
    <row r="56" ht="26.25" customHeight="1" s="33"/>
    <row r="57" ht="26.25" customHeight="1" s="33"/>
    <row r="58" ht="26.25" customHeight="1" s="33"/>
    <row r="59" ht="26.25" customHeight="1" s="33"/>
    <row r="60" ht="26.25" customHeight="1" s="33"/>
    <row r="61" ht="26.25" customHeight="1" s="33"/>
    <row r="62" ht="26.25" customHeight="1" s="33"/>
    <row r="63" ht="26.25" customHeight="1" s="33"/>
    <row r="64" ht="26.25" customHeight="1" s="33"/>
    <row r="65" ht="26.25" customHeight="1" s="33"/>
    <row r="66" ht="26.25" customHeight="1" s="33"/>
    <row r="67" ht="26.25" customHeight="1" s="33"/>
    <row r="68" ht="26.25" customHeight="1" s="33"/>
    <row r="69" ht="26.25" customHeight="1" s="33"/>
    <row r="70" ht="26.25" customHeight="1" s="33"/>
    <row r="71" ht="26.25" customHeight="1" s="33"/>
    <row r="72" ht="26.25" customHeight="1" s="33"/>
    <row r="73" ht="26.25" customHeight="1" s="33"/>
    <row r="74" ht="26.25" customHeight="1" s="33"/>
    <row r="75" ht="26.25" customHeight="1" s="33"/>
    <row r="76" ht="26.25" customHeight="1" s="33"/>
    <row r="77" ht="26.25" customHeight="1" s="33"/>
    <row r="78" ht="26.25" customHeight="1" s="33"/>
    <row r="79" ht="26.25" customHeight="1" s="33"/>
    <row r="80" ht="26.25" customHeight="1" s="33"/>
    <row r="81" ht="26.25" customHeight="1" s="33"/>
    <row r="82" ht="26.25" customHeight="1" s="33"/>
    <row r="83" ht="26.25" customHeight="1" s="33"/>
    <row r="84" ht="26.25" customHeight="1" s="33"/>
    <row r="85" ht="26.25" customHeight="1" s="33"/>
    <row r="86" ht="26.25" customHeight="1" s="33"/>
    <row r="87" ht="26.25" customHeight="1" s="33"/>
    <row r="88" ht="26.25" customHeight="1" s="33"/>
    <row r="89" ht="26.25" customHeight="1" s="33"/>
    <row r="90" ht="26.25" customHeight="1" s="33"/>
    <row r="91" ht="26.25" customHeight="1" s="33"/>
    <row r="92" ht="26.25" customHeight="1" s="33"/>
    <row r="93" ht="26.25" customHeight="1" s="33"/>
    <row r="94" ht="26.25" customHeight="1" s="33"/>
    <row r="95" ht="26.25" customHeight="1" s="33"/>
    <row r="96" ht="26.25" customHeight="1" s="33"/>
    <row r="97" ht="26.25" customHeight="1" s="33"/>
    <row r="98" ht="26.25" customHeight="1" s="33"/>
    <row r="99" ht="26.25" customHeight="1" s="33"/>
    <row r="100" ht="26.2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A2:F2"/>
    <mergeCell ref="A1:F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70.70999999999999" customWidth="1" style="33" min="1" max="1"/>
    <col width="11.86" customWidth="1" style="33" min="2" max="2"/>
    <col width="27" customWidth="1" style="33" min="3" max="3"/>
    <col width="60" customWidth="1" style="33" min="4" max="4"/>
    <col width="10.29" customWidth="1" style="33" min="5" max="5"/>
    <col width="8.710000000000001" customWidth="1" style="33" min="6" max="26"/>
  </cols>
  <sheetData>
    <row r="1" ht="26.25" customHeight="1" s="33">
      <c r="A1" s="41" t="inlineStr">
        <is>
          <t>Risk Register</t>
        </is>
      </c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6.25" customHeight="1" s="33">
      <c r="A2" s="26" t="inlineStr">
        <is>
          <t>Likelihood × calendar trigger × mitigation. Review at every weekly Zoom.</t>
        </is>
      </c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6.25" customHeight="1" s="33"/>
    <row r="4" ht="26.25" customHeight="1" s="33">
      <c r="A4" s="28" t="inlineStr">
        <is>
          <t>Risk</t>
        </is>
      </c>
      <c r="B4" s="28" t="inlineStr">
        <is>
          <t>Likelihood</t>
        </is>
      </c>
      <c r="C4" s="28" t="inlineStr">
        <is>
          <t>Decision Trigger</t>
        </is>
      </c>
      <c r="D4" s="28" t="inlineStr">
        <is>
          <t>Mitigation</t>
        </is>
      </c>
      <c r="E4" s="28" t="inlineStr">
        <is>
          <t>Status</t>
        </is>
      </c>
    </row>
    <row r="5" ht="26.25" customHeight="1" s="33">
      <c r="A5" s="44" t="inlineStr">
        <is>
          <t>On-chip SRAM too large for ¼ block</t>
        </is>
      </c>
      <c r="B5" s="31" t="inlineStr">
        <is>
          <t>Low</t>
        </is>
      </c>
      <c r="C5" s="44" t="inlineStr">
        <is>
          <t>Resolved Jul 31</t>
        </is>
      </c>
      <c r="D5" s="44" t="inlineStr">
        <is>
          <t>Measured: GF180 SRAM macros are area-NEGATIVE below ~512 B (4x sram64x8 = 0.402 mm2 vs ~0.252 mm2 of flip-flops). Frozen part uses a 128 B flip-flop scratchpad, sram_kb: 0</t>
        </is>
      </c>
      <c r="E5" s="31" t="inlineStr">
        <is>
          <t>Resolved</t>
        </is>
      </c>
    </row>
    <row r="6" ht="26.25" customHeight="1" s="33">
      <c r="A6" s="44" t="inlineStr">
        <is>
          <t>Agent produces invalid config / flow steps</t>
        </is>
      </c>
      <c r="B6" s="31" t="inlineStr">
        <is>
          <t>Medium</t>
        </is>
      </c>
      <c r="C6" s="44" t="inlineStr">
        <is>
          <t>Continuous</t>
        </is>
      </c>
      <c r="D6" s="44" t="inlineStr">
        <is>
          <t>Every output gated: schema validation + soc-from-prompt pipeline gates (topo check → mcu-gen render → TB PASS → wake EXIT SUCCESS); agent runtime adds approval gates + evidence binding (stale evidence rejected); manual flow path always available</t>
        </is>
      </c>
      <c r="E6" s="43" t="inlineStr">
        <is>
          <t>Mitigated</t>
        </is>
      </c>
    </row>
    <row r="7" ht="26.25" customHeight="1" s="33">
      <c r="A7" s="44" t="inlineStr">
        <is>
          <t>FazyRV not characterised on GF180MCU</t>
        </is>
      </c>
      <c r="B7" s="43" t="inlineStr">
        <is>
          <t>Low</t>
        </is>
      </c>
      <c r="C7" s="44" t="inlineStr">
        <is>
          <t>N/A for tapeout</t>
        </is>
      </c>
      <c r="D7" s="44" t="inlineStr">
        <is>
          <t>FazyRV is not in the frozen Block A config (2x SERV). Remains sim-verified in the generator</t>
        </is>
      </c>
      <c r="E7" s="31" t="inlineStr">
        <is>
          <t>Closed</t>
        </is>
      </c>
    </row>
    <row r="8" ht="26.25" customHeight="1" s="33">
      <c r="A8" s="44" t="inlineStr">
        <is>
          <t>Timing not closing @ 50 MHz</t>
        </is>
      </c>
      <c r="B8" s="43" t="inlineStr">
        <is>
          <t>Low</t>
        </is>
      </c>
      <c r="C8" s="44" t="inlineStr">
        <is>
          <t>Resolved Aug 1</t>
        </is>
      </c>
      <c r="D8" s="44" t="inlineStr">
        <is>
          <t>Frozen part runs at 10 MHz (CLOCK_PERIOD 100) with +20.72 ns setup / +0.055 ns hold worst-corner, TNS 0 at all 9 corners. 50 MHz was dropped deliberately per reviewer advice</t>
        </is>
      </c>
      <c r="E8" s="31" t="inlineStr">
        <is>
          <t>Resolved</t>
        </is>
      </c>
    </row>
    <row r="9" ht="26.25" customHeight="1" s="33">
      <c r="A9" s="44" t="inlineStr">
        <is>
          <t>Team bandwidth (3 people, summer)</t>
        </is>
      </c>
      <c r="B9" s="31" t="inlineStr">
        <is>
          <t>Medium</t>
        </is>
      </c>
      <c r="C9" s="44" t="inlineStr">
        <is>
          <t>Weekly Zoom</t>
        </is>
      </c>
      <c r="D9" s="44" t="inlineStr">
        <is>
          <t>Strict scope: PoC committed, all else stretch; cut stretch first</t>
        </is>
      </c>
      <c r="E9" s="31" t="inlineStr">
        <is>
          <t>Watching</t>
        </is>
      </c>
    </row>
    <row r="10" ht="26.25" customHeight="1" s="33">
      <c r="A10" s="44" t="inlineStr">
        <is>
          <t>Simulator miscompile: oss-cad-suite Verilator nightly DFG bug (bug 21)</t>
        </is>
      </c>
      <c r="B10" s="37" t="inlineStr">
        <is>
          <t>High (hit)</t>
        </is>
      </c>
      <c r="C10" s="44" t="inlineStr">
        <is>
          <t>Hit Jul 10 (all-TITAN demo)</t>
        </is>
      </c>
      <c r="D10" s="44" t="inlineStr">
        <is>
          <t>Pinned stable Verilator 5.050 in all sim scripts (VERILATOR_PIN override)</t>
        </is>
      </c>
      <c r="E10" s="43" t="inlineStr">
        <is>
          <t>Mitigated</t>
        </is>
      </c>
    </row>
    <row r="11" ht="26.25" customHeight="1" s="33">
      <c r="A11" s="44" t="inlineStr">
        <is>
          <t>GF180 PDK + SRAM bitcell availability for signoff runs</t>
        </is>
      </c>
      <c r="B11" s="31" t="inlineStr">
        <is>
          <t>Medium</t>
        </is>
      </c>
      <c r="C11" s="44" t="inlineStr">
        <is>
          <t>Week 30 (layout phase start)</t>
        </is>
      </c>
      <c r="D11" s="44" t="inlineStr">
        <is>
          <t>IIC-OSIC-TOOLS container or remote server; extract cell1rw from PDK or upstream OpenRAM</t>
        </is>
      </c>
      <c r="E11" s="31" t="inlineStr">
        <is>
          <t>Watching</t>
        </is>
      </c>
    </row>
    <row r="12" ht="26.25" customHeight="1" s="33">
      <c r="A12" s="0" t="inlineStr">
        <is>
          <t>Signed-off GDS predates the bug-31 fix</t>
        </is>
      </c>
      <c r="B12" s="0" t="inlineStr">
        <is>
          <t>Closed</t>
        </is>
      </c>
      <c r="C12" s="0" t="inlineStr">
        <is>
          <t>Resolved Aug 2</t>
        </is>
      </c>
      <c r="D12" s="0" t="inlineStr">
        <is>
          <t>Re-hardened with the fix in place; all decks clean at lower utilization (84.4%) than before</t>
        </is>
      </c>
      <c r="E12" s="0" t="inlineStr">
        <is>
          <t>Resolved</t>
        </is>
      </c>
    </row>
    <row r="13" ht="26.25" customHeight="1" s="33">
      <c r="A13" s="0" t="inlineStr">
        <is>
          <t>Electrical rule violations not covered by any deck</t>
        </is>
      </c>
      <c r="B13" s="0" t="inlineStr">
        <is>
          <t>Medium</t>
        </is>
      </c>
      <c r="C13" s="0" t="inlineStr">
        <is>
          <t>Before tapeout</t>
        </is>
      </c>
      <c r="D13" s="0" t="inlineStr">
        <is>
          <t>max-cap 27-&gt;0, max-fanout 411-&gt;1, max-slew 2889-&gt;591 (measured against the library 4.0 ns rather than a tighter blanket default). Residual 591 needs per-net work: CTS_MAX_CAP and bufz_8 pad upsizing were both measured to make it worse</t>
        </is>
      </c>
      <c r="E13" s="0" t="inlineStr">
        <is>
          <t>Open, reduced</t>
        </is>
      </c>
    </row>
    <row r="14" ht="26.25" customHeight="1" s="33">
      <c r="A14" s="0" t="inlineStr">
        <is>
          <t>Hand-modified vendored RTL untested</t>
        </is>
      </c>
      <c r="B14" s="0" t="inlineStr">
        <is>
          <t>Medium (hit)</t>
        </is>
      </c>
      <c r="C14" s="0" t="inlineStr">
        <is>
          <t>Continuous</t>
        </is>
      </c>
      <c r="D14" s="0" t="inlineStr">
        <is>
          <t>UART FIFOs cut 32-&gt;4 entries for area with no test. Closed by tb/mosaic_soc/run_uart.sh, which measures the depth directly and checks TX against the UART DPI log</t>
        </is>
      </c>
      <c r="E14" s="0" t="inlineStr">
        <is>
          <t>Mitigated</t>
        </is>
      </c>
    </row>
    <row r="15" ht="26.25" customHeight="1" s="33">
      <c r="A15" s="0" t="inlineStr">
        <is>
          <t>Timing-annotated GLS unavailable with open tools</t>
        </is>
      </c>
      <c r="B15" s="0" t="inlineStr">
        <is>
          <t>Certain (hit)</t>
        </is>
      </c>
      <c r="C15" s="0" t="inlineStr">
        <is>
          <t>Before tapeout</t>
        </is>
      </c>
      <c r="D15" s="0" t="inlineStr">
        <is>
          <t>PDK cell models use ifnone on edge-sensitive specify paths (illegal per IEEE 1364-2005 14.2.6); iverilog and CVC both reject, CVC then segfaults on the full netlist. Functional GLS passes; timing coverage rests on STA at 9 corners</t>
        </is>
      </c>
      <c r="E15" s="0" t="inlineStr">
        <is>
          <t>Open - needs commercial simulator</t>
        </is>
      </c>
    </row>
    <row r="16" ht="26.25" customHeight="1" s="33">
      <c r="A16" s="0" t="inlineStr">
        <is>
          <t>Signoff configs pinned to absolute build paths (stale-RTL hardening)</t>
        </is>
      </c>
      <c r="B16" s="0" t="inlineStr">
        <is>
          <t>High (hit)</t>
        </is>
      </c>
      <c r="C16" s="0" t="inlineStr">
        <is>
          <t>Resolved Aug 3</t>
        </is>
      </c>
      <c r="D16" s="0" t="inlineStr">
        <is>
          <t>Paths resolved from the FuseSoC manifest at run time (gen_filelist.py); the runner stops if the RTL has not been generated instead of reaching for an older bundle. Guarded by test_librelane_filelist.py — the configs may never regain an absolute path</t>
        </is>
      </c>
      <c r="E16" s="0" t="inlineStr">
        <is>
          <t>Resolved</t>
        </is>
      </c>
    </row>
    <row r="17" ht="26.25" customHeight="1" s="33"/>
    <row r="18" ht="26.25" customHeight="1" s="33"/>
    <row r="19" ht="26.25" customHeight="1" s="33"/>
    <row r="20" ht="26.25" customHeight="1" s="33"/>
    <row r="21" ht="26.25" customHeight="1" s="33"/>
    <row r="22" ht="26.25" customHeight="1" s="33"/>
    <row r="23" ht="26.25" customHeight="1" s="33"/>
    <row r="24" ht="26.25" customHeight="1" s="33"/>
    <row r="25" ht="26.25" customHeight="1" s="33"/>
    <row r="26" ht="26.25" customHeight="1" s="33"/>
    <row r="27" ht="26.25" customHeight="1" s="33"/>
    <row r="28" ht="26.25" customHeight="1" s="33"/>
    <row r="29" ht="26.25" customHeight="1" s="33"/>
    <row r="30" ht="26.25" customHeight="1" s="33"/>
    <row r="31" ht="26.25" customHeight="1" s="33"/>
    <row r="32" ht="26.25" customHeight="1" s="33"/>
    <row r="33" ht="26.25" customHeight="1" s="33"/>
    <row r="34" ht="26.25" customHeight="1" s="33"/>
    <row r="35" ht="26.25" customHeight="1" s="33"/>
    <row r="36" ht="26.25" customHeight="1" s="33"/>
    <row r="37" ht="26.25" customHeight="1" s="33"/>
    <row r="38" ht="26.25" customHeight="1" s="33"/>
    <row r="39" ht="26.25" customHeight="1" s="33"/>
    <row r="40" ht="26.25" customHeight="1" s="33"/>
    <row r="41" ht="26.25" customHeight="1" s="33"/>
    <row r="42" ht="26.25" customHeight="1" s="33"/>
    <row r="43" ht="26.25" customHeight="1" s="33"/>
    <row r="44" ht="26.25" customHeight="1" s="33"/>
    <row r="45" ht="26.25" customHeight="1" s="33"/>
    <row r="46" ht="26.25" customHeight="1" s="33"/>
    <row r="47" ht="26.25" customHeight="1" s="33"/>
    <row r="48" ht="26.25" customHeight="1" s="33"/>
    <row r="49" ht="26.25" customHeight="1" s="33"/>
    <row r="50" ht="26.25" customHeight="1" s="33"/>
    <row r="51" ht="26.25" customHeight="1" s="33"/>
    <row r="52" ht="26.25" customHeight="1" s="33"/>
    <row r="53" ht="26.25" customHeight="1" s="33"/>
    <row r="54" ht="26.25" customHeight="1" s="33"/>
    <row r="55" ht="26.25" customHeight="1" s="33"/>
    <row r="56" ht="26.25" customHeight="1" s="33"/>
    <row r="57" ht="26.25" customHeight="1" s="33"/>
    <row r="58" ht="26.25" customHeight="1" s="33"/>
    <row r="59" ht="26.25" customHeight="1" s="33"/>
    <row r="60" ht="26.25" customHeight="1" s="33"/>
    <row r="61" ht="26.25" customHeight="1" s="33"/>
    <row r="62" ht="26.25" customHeight="1" s="33"/>
    <row r="63" ht="26.25" customHeight="1" s="33"/>
    <row r="64" ht="26.25" customHeight="1" s="33"/>
    <row r="65" ht="26.25" customHeight="1" s="33"/>
    <row r="66" ht="26.25" customHeight="1" s="33"/>
    <row r="67" ht="26.25" customHeight="1" s="33"/>
    <row r="68" ht="26.25" customHeight="1" s="33"/>
    <row r="69" ht="26.25" customHeight="1" s="33"/>
    <row r="70" ht="26.25" customHeight="1" s="33"/>
    <row r="71" ht="26.25" customHeight="1" s="33"/>
    <row r="72" ht="26.25" customHeight="1" s="33"/>
    <row r="73" ht="26.25" customHeight="1" s="33"/>
    <row r="74" ht="26.25" customHeight="1" s="33"/>
    <row r="75" ht="26.25" customHeight="1" s="33"/>
    <row r="76" ht="26.25" customHeight="1" s="33"/>
    <row r="77" ht="26.25" customHeight="1" s="33"/>
    <row r="78" ht="26.25" customHeight="1" s="33"/>
    <row r="79" ht="26.25" customHeight="1" s="33"/>
    <row r="80" ht="26.25" customHeight="1" s="33"/>
    <row r="81" ht="26.25" customHeight="1" s="33"/>
    <row r="82" ht="26.25" customHeight="1" s="33"/>
    <row r="83" ht="26.25" customHeight="1" s="33"/>
    <row r="84" ht="26.25" customHeight="1" s="33"/>
    <row r="85" ht="26.25" customHeight="1" s="33"/>
    <row r="86" ht="26.25" customHeight="1" s="33"/>
    <row r="87" ht="26.25" customHeight="1" s="33"/>
    <row r="88" ht="26.25" customHeight="1" s="33"/>
    <row r="89" ht="26.25" customHeight="1" s="33"/>
    <row r="90" ht="26.25" customHeight="1" s="33"/>
    <row r="91" ht="26.25" customHeight="1" s="33"/>
    <row r="92" ht="26.25" customHeight="1" s="33"/>
    <row r="93" ht="26.25" customHeight="1" s="33"/>
    <row r="94" ht="26.25" customHeight="1" s="33"/>
    <row r="95" ht="26.25" customHeight="1" s="33"/>
    <row r="96" ht="26.25" customHeight="1" s="33"/>
    <row r="97" ht="26.25" customHeight="1" s="33"/>
    <row r="98" ht="26.25" customHeight="1" s="33"/>
    <row r="99" ht="26.25" customHeight="1" s="33"/>
    <row r="100" ht="26.2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A2:E2"/>
    <mergeCell ref="A1:E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3.43000000000001" customWidth="1" style="33" min="1" max="1"/>
    <col width="7.43" customWidth="1" style="33" min="2" max="2"/>
    <col width="11.86" customWidth="1" style="33" min="3" max="3"/>
    <col width="48.71" customWidth="1" style="33" min="4" max="4"/>
    <col width="10.14" customWidth="1" style="33" min="5" max="5"/>
    <col width="12" customWidth="1" style="33" min="6" max="6"/>
    <col width="8.710000000000001" customWidth="1" style="33" min="7" max="26"/>
  </cols>
  <sheetData>
    <row r="1" ht="26.25" customHeight="1" s="33">
      <c r="A1" s="41" t="inlineStr">
        <is>
          <t>Weekly Report Log</t>
        </is>
      </c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26.25" customHeight="1" s="33">
      <c r="A2" s="26" t="inlineStr">
        <is>
          <t>Organisers require a report every Wednesday. Log submission + 3-line summary here.</t>
        </is>
      </c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</row>
    <row r="3" ht="26.25" customHeight="1" s="33"/>
    <row r="4" ht="26.25" customHeight="1" s="33">
      <c r="A4" s="28" t="inlineStr">
        <is>
          <t>Week</t>
        </is>
      </c>
      <c r="B4" s="28" t="inlineStr">
        <is>
          <t>Wed Date</t>
        </is>
      </c>
      <c r="C4" s="28" t="inlineStr">
        <is>
          <t>Submitted?</t>
        </is>
      </c>
      <c r="D4" s="28" t="inlineStr">
        <is>
          <t>Done this week</t>
        </is>
      </c>
      <c r="E4" s="28" t="inlineStr">
        <is>
          <t>Blockers</t>
        </is>
      </c>
      <c r="F4" s="28" t="inlineStr">
        <is>
          <t>Next week</t>
        </is>
      </c>
    </row>
    <row r="5" ht="26.25" customHeight="1" s="33">
      <c r="A5" s="44" t="inlineStr">
        <is>
          <t>W24</t>
        </is>
      </c>
      <c r="B5" s="44" t="inlineStr">
        <is>
          <t>Jun 17</t>
        </is>
      </c>
      <c r="C5" s="44" t="n"/>
      <c r="D5" s="44" t="n"/>
      <c r="E5" s="44" t="n"/>
      <c r="F5" s="44" t="n"/>
    </row>
    <row r="6" ht="26.25" customHeight="1" s="33">
      <c r="A6" s="44" t="inlineStr">
        <is>
          <t>W25</t>
        </is>
      </c>
      <c r="B6" s="44" t="inlineStr">
        <is>
          <t>Jun 24</t>
        </is>
      </c>
      <c r="C6" s="44" t="n"/>
      <c r="D6" s="44" t="n"/>
      <c r="E6" s="44" t="n"/>
      <c r="F6" s="44" t="n"/>
    </row>
    <row r="7" ht="26.25" customHeight="1" s="33">
      <c r="A7" s="44" t="inlineStr">
        <is>
          <t>W26</t>
        </is>
      </c>
      <c r="B7" s="44" t="inlineStr">
        <is>
          <t>Jul 1</t>
        </is>
      </c>
      <c r="C7" s="44" t="n"/>
      <c r="D7" s="44" t="inlineStr">
        <is>
          <t>Config-driven multi-core generator sprint: YAML config system, SCI wrappers (serv/fazyrv/ibex), TDU 22/22, iDMA, multi-core sims 3/3 (Jun 27-30)</t>
        </is>
      </c>
      <c r="E7" s="44" t="n"/>
      <c r="F7" s="44" t="n"/>
    </row>
    <row r="8" ht="26.25" customHeight="1" s="33">
      <c r="A8" s="44" t="inlineStr">
        <is>
          <t>W27</t>
        </is>
      </c>
      <c r="B8" s="44" t="inlineStr">
        <is>
          <t>Jul 8</t>
        </is>
      </c>
      <c r="C8" s="44" t="n"/>
      <c r="D8" s="44" t="inlineStr">
        <is>
          <t>Multi-fabric bus (obi/log/floonoc) + wake demo ×3; OpenRAM GF180 port + LibreLane SRAM wiring; oh-my-soc harness (5 skills)</t>
        </is>
      </c>
      <c r="E8" s="44" t="n"/>
      <c r="F8" s="44" t="n"/>
    </row>
    <row r="9" ht="26.25" customHeight="1" s="33">
      <c r="A9" s="44" t="inlineStr">
        <is>
          <t>W28</t>
        </is>
      </c>
      <c r="B9" s="44" t="inlineStr">
        <is>
          <t>Jul 15</t>
        </is>
      </c>
      <c r="C9" s="44" t="n"/>
      <c r="D9" s="44" t="inlineStr">
        <is>
          <t>Production fw on 7-hart PoC EXIT SUCCESS; cv32e40x + all-TITAN 4-core SMP demo ×3 fabrics; bug 21 (Verilator DFG) root-caused, 5.050 pinned; NEW CORES: picorv32 + snitch + cva6(32-bit, sim-only) each sim-verified and running together (mosaic_new_cores.yaml); 18-step regression ALL PASS</t>
        </is>
      </c>
      <c r="E9" s="44" t="n"/>
      <c r="F9" s="44" t="n"/>
    </row>
    <row r="10" ht="26.25" customHeight="1" s="33">
      <c r="A10" s="44" t="inlineStr">
        <is>
          <t>W29</t>
        </is>
      </c>
      <c r="B10" s="44" t="inlineStr">
        <is>
          <t>Jul 22</t>
        </is>
      </c>
      <c r="C10" s="44" t="n"/>
      <c r="D10" s="44" t="inlineStr">
        <is>
          <t>Berkeley Rocket+BOOM RV64 tiles + TL→OBI bridge + combined demo (sim-only); harness v2: 9 skills, prompt→SoC pipeline EXIT SUCCESS (no LLM), wrapper-smith/tb-smith, Hazard3 integrated BY the mechanism (tapeout-eligible), ./oh-my-soc executable + driver picker; generator hardening: strict registry, per-hart RTL gen, flash-boot manifests, 249 pytests, flash-only production boot EXIT SUCCESS; built-in agent runtime (typed tools, approval gates, evidence binding); beginner tutorial; generator-roadmap proposition; 26-step sweep ALL PASS; tb-matrix combination-coverage skill (pairwise covering array over registry axes, tiered validate/render/sim gates, resumable campaign — first sim runs green incl. 2 never-tested core combos)</t>
        </is>
      </c>
      <c r="E10" s="44" t="n"/>
      <c r="F10" s="44" t="n"/>
    </row>
    <row r="11" ht="26.25" customHeight="1" s="33">
      <c r="A11" s="44" t="inlineStr">
        <is>
          <t>W30</t>
        </is>
      </c>
      <c r="B11" s="44" t="inlineStr">
        <is>
          <t>Jul 29</t>
        </is>
      </c>
      <c r="C11" s="44" t="n"/>
      <c r="D11" s="44" t="inlineStr">
        <is>
          <t>Area reduction 3.903 -&gt; 1.249 mm2 by measurement; 8 selectable platform knobs; Block A 22-pin macro wrapper; first routed GDS in the Chipathon slot</t>
        </is>
      </c>
      <c r="E11" s="44" t="inlineStr">
        <is>
          <t>DRC/LVS not yet run</t>
        </is>
      </c>
      <c r="F11" s="44" t="inlineStr">
        <is>
          <t>Run the full signoff decks</t>
        </is>
      </c>
    </row>
    <row r="12" ht="26.25" customHeight="1" s="33">
      <c r="A12" s="44" t="inlineStr">
        <is>
          <t>W31</t>
        </is>
      </c>
      <c r="B12" s="44" t="inlineStr">
        <is>
          <t>Aug 5</t>
        </is>
      </c>
      <c r="C12" s="44" t="n"/>
      <c r="D12" s="44" t="inlineStr">
        <is>
          <t>Block A re-hardened with the bug-31 fix: all decks clean, max-cap 27-&gt;0, max-fanout 411-&gt;1, max-slew 2889-&gt;591. RTL frozen + tagged rtl-freeze-blocka-v2. Gate-level simulation on the routed netlist passes (12 399 cycles vs RTL 12 400). UART bring-up test added. LibreLane signoff made reproducible on any machine: the filelist is resolved from the FuseSoC manifest at run time instead of 526 absolute build paths (verify 507/507, re-run identical)</t>
        </is>
      </c>
      <c r="E12" s="44" t="inlineStr">
        <is>
          <t>Timing-annotated GLS blocked: PDK models use illegal ifnone edge paths (IEEE 1364-2005 14.2.6) and CVC segfaults at this scale; 591 max-slew violations remain</t>
        </is>
      </c>
      <c r="F12" s="44" t="inlineStr">
        <is>
          <t>Per-net slew work; consider a commercial simulator for SDF GLS</t>
        </is>
      </c>
    </row>
    <row r="13" ht="26.25" customHeight="1" s="33">
      <c r="A13" s="44" t="inlineStr">
        <is>
          <t>W32</t>
        </is>
      </c>
      <c r="B13" s="44" t="inlineStr">
        <is>
          <t>Aug 12</t>
        </is>
      </c>
      <c r="C13" s="44" t="n"/>
      <c r="D13" s="44" t="n"/>
      <c r="E13" s="44" t="n"/>
      <c r="F13" s="44" t="n"/>
    </row>
    <row r="14" ht="26.25" customHeight="1" s="33">
      <c r="A14" s="44" t="inlineStr">
        <is>
          <t>W33</t>
        </is>
      </c>
      <c r="B14" s="44" t="inlineStr">
        <is>
          <t>Aug 19</t>
        </is>
      </c>
      <c r="C14" s="44" t="n"/>
      <c r="D14" s="44" t="n"/>
      <c r="E14" s="44" t="n"/>
      <c r="F14" s="44" t="n"/>
    </row>
    <row r="15" ht="26.25" customHeight="1" s="33">
      <c r="A15" s="44" t="inlineStr">
        <is>
          <t>W34</t>
        </is>
      </c>
      <c r="B15" s="44" t="inlineStr">
        <is>
          <t>Aug 26</t>
        </is>
      </c>
      <c r="C15" s="44" t="n"/>
      <c r="D15" s="44" t="n"/>
      <c r="E15" s="44" t="n"/>
      <c r="F15" s="44" t="n"/>
    </row>
    <row r="16" ht="26.25" customHeight="1" s="33">
      <c r="A16" s="44" t="inlineStr">
        <is>
          <t>W35</t>
        </is>
      </c>
      <c r="B16" s="44" t="inlineStr">
        <is>
          <t>Sep 2</t>
        </is>
      </c>
      <c r="C16" s="44" t="n"/>
      <c r="D16" s="44" t="n"/>
      <c r="E16" s="44" t="n"/>
      <c r="F16" s="44" t="n"/>
    </row>
    <row r="17" ht="26.25" customHeight="1" s="33"/>
    <row r="18" ht="26.25" customHeight="1" s="33"/>
    <row r="19" ht="26.25" customHeight="1" s="33"/>
    <row r="20" ht="26.25" customHeight="1" s="33"/>
    <row r="21" ht="26.25" customHeight="1" s="33"/>
    <row r="22" ht="26.25" customHeight="1" s="33"/>
    <row r="23" ht="26.25" customHeight="1" s="33"/>
    <row r="24" ht="26.25" customHeight="1" s="33"/>
    <row r="25" ht="26.25" customHeight="1" s="33"/>
    <row r="26" ht="26.25" customHeight="1" s="33"/>
    <row r="27" ht="26.25" customHeight="1" s="33"/>
    <row r="28" ht="26.25" customHeight="1" s="33"/>
    <row r="29" ht="26.25" customHeight="1" s="33"/>
    <row r="30" ht="26.25" customHeight="1" s="33"/>
    <row r="31" ht="26.25" customHeight="1" s="33"/>
    <row r="32" ht="26.25" customHeight="1" s="33"/>
    <row r="33" ht="26.25" customHeight="1" s="33"/>
    <row r="34" ht="26.25" customHeight="1" s="33"/>
    <row r="35" ht="26.25" customHeight="1" s="33"/>
    <row r="36" ht="26.25" customHeight="1" s="33"/>
    <row r="37" ht="26.25" customHeight="1" s="33"/>
    <row r="38" ht="26.25" customHeight="1" s="33"/>
    <row r="39" ht="26.25" customHeight="1" s="33"/>
    <row r="40" ht="26.25" customHeight="1" s="33"/>
    <row r="41" ht="26.25" customHeight="1" s="33"/>
    <row r="42" ht="26.25" customHeight="1" s="33"/>
    <row r="43" ht="26.25" customHeight="1" s="33"/>
    <row r="44" ht="26.25" customHeight="1" s="33"/>
    <row r="45" ht="26.25" customHeight="1" s="33"/>
    <row r="46" ht="26.25" customHeight="1" s="33"/>
    <row r="47" ht="26.25" customHeight="1" s="33"/>
    <row r="48" ht="26.25" customHeight="1" s="33"/>
    <row r="49" ht="26.25" customHeight="1" s="33"/>
    <row r="50" ht="26.25" customHeight="1" s="33"/>
    <row r="51" ht="26.25" customHeight="1" s="33"/>
    <row r="52" ht="26.25" customHeight="1" s="33"/>
    <row r="53" ht="26.25" customHeight="1" s="33"/>
    <row r="54" ht="26.25" customHeight="1" s="33"/>
    <row r="55" ht="26.25" customHeight="1" s="33"/>
    <row r="56" ht="26.25" customHeight="1" s="33"/>
    <row r="57" ht="26.25" customHeight="1" s="33"/>
    <row r="58" ht="26.25" customHeight="1" s="33"/>
    <row r="59" ht="26.25" customHeight="1" s="33"/>
    <row r="60" ht="26.25" customHeight="1" s="33"/>
    <row r="61" ht="26.25" customHeight="1" s="33"/>
    <row r="62" ht="26.25" customHeight="1" s="33"/>
    <row r="63" ht="26.25" customHeight="1" s="33"/>
    <row r="64" ht="26.25" customHeight="1" s="33"/>
    <row r="65" ht="26.25" customHeight="1" s="33"/>
    <row r="66" ht="26.25" customHeight="1" s="33"/>
    <row r="67" ht="26.25" customHeight="1" s="33"/>
    <row r="68" ht="26.25" customHeight="1" s="33"/>
    <row r="69" ht="26.25" customHeight="1" s="33"/>
    <row r="70" ht="26.25" customHeight="1" s="33"/>
    <row r="71" ht="26.25" customHeight="1" s="33"/>
    <row r="72" ht="26.25" customHeight="1" s="33"/>
    <row r="73" ht="26.25" customHeight="1" s="33"/>
    <row r="74" ht="26.25" customHeight="1" s="33"/>
    <row r="75" ht="26.25" customHeight="1" s="33"/>
    <row r="76" ht="26.25" customHeight="1" s="33"/>
    <row r="77" ht="26.25" customHeight="1" s="33"/>
    <row r="78" ht="26.25" customHeight="1" s="33"/>
    <row r="79" ht="26.25" customHeight="1" s="33"/>
    <row r="80" ht="26.25" customHeight="1" s="33"/>
    <row r="81" ht="26.25" customHeight="1" s="33"/>
    <row r="82" ht="26.25" customHeight="1" s="33"/>
    <row r="83" ht="26.25" customHeight="1" s="33"/>
    <row r="84" ht="26.25" customHeight="1" s="33"/>
    <row r="85" ht="26.25" customHeight="1" s="33"/>
    <row r="86" ht="26.25" customHeight="1" s="33"/>
    <row r="87" ht="26.25" customHeight="1" s="33"/>
    <row r="88" ht="26.25" customHeight="1" s="33"/>
    <row r="89" ht="26.25" customHeight="1" s="33"/>
    <row r="90" ht="26.25" customHeight="1" s="33"/>
    <row r="91" ht="26.25" customHeight="1" s="33"/>
    <row r="92" ht="26.25" customHeight="1" s="33"/>
    <row r="93" ht="26.25" customHeight="1" s="33"/>
    <row r="94" ht="26.25" customHeight="1" s="33"/>
    <row r="95" ht="26.25" customHeight="1" s="33"/>
    <row r="96" ht="26.25" customHeight="1" s="33"/>
    <row r="97" ht="26.25" customHeight="1" s="33"/>
    <row r="98" ht="26.25" customHeight="1" s="33"/>
    <row r="99" ht="26.25" customHeight="1" s="33"/>
    <row r="100" ht="26.25" customHeight="1" s="33"/>
    <row r="101" ht="15.75" customHeight="1" s="33"/>
    <row r="102" ht="15.75" customHeight="1" s="33"/>
    <row r="103" ht="15.75" customHeight="1" s="33"/>
    <row r="104" ht="15.75" customHeight="1" s="33"/>
    <row r="105" ht="15.75" customHeight="1" s="33"/>
    <row r="106" ht="15.75" customHeight="1" s="33"/>
    <row r="107" ht="15.75" customHeight="1" s="33"/>
    <row r="108" ht="15.75" customHeight="1" s="33"/>
    <row r="109" ht="15.75" customHeight="1" s="33"/>
    <row r="110" ht="15.75" customHeight="1" s="33"/>
    <row r="111" ht="15.75" customHeight="1" s="33"/>
    <row r="112" ht="15.75" customHeight="1" s="33"/>
    <row r="113" ht="15.75" customHeight="1" s="33"/>
    <row r="114" ht="15.75" customHeight="1" s="33"/>
    <row r="115" ht="15.75" customHeight="1" s="33"/>
    <row r="116" ht="15.75" customHeight="1" s="33"/>
    <row r="117" ht="15.75" customHeight="1" s="33"/>
    <row r="118" ht="15.75" customHeight="1" s="33"/>
    <row r="119" ht="15.75" customHeight="1" s="33"/>
    <row r="120" ht="15.75" customHeight="1" s="33"/>
    <row r="121" ht="15.75" customHeight="1" s="33"/>
    <row r="122" ht="15.75" customHeight="1" s="33"/>
    <row r="123" ht="15.75" customHeight="1" s="33"/>
    <row r="124" ht="15.75" customHeight="1" s="33"/>
    <row r="125" ht="15.75" customHeight="1" s="33"/>
    <row r="126" ht="15.75" customHeight="1" s="33"/>
    <row r="127" ht="15.75" customHeight="1" s="33"/>
    <row r="128" ht="15.75" customHeight="1" s="33"/>
    <row r="129" ht="15.75" customHeight="1" s="33"/>
    <row r="130" ht="15.75" customHeight="1" s="33"/>
    <row r="131" ht="15.75" customHeight="1" s="33"/>
    <row r="132" ht="15.75" customHeight="1" s="33"/>
    <row r="133" ht="15.75" customHeight="1" s="33"/>
    <row r="134" ht="15.75" customHeight="1" s="33"/>
    <row r="135" ht="15.75" customHeight="1" s="33"/>
    <row r="136" ht="15.75" customHeight="1" s="33"/>
    <row r="137" ht="15.75" customHeight="1" s="33"/>
    <row r="138" ht="15.75" customHeight="1" s="33"/>
    <row r="139" ht="15.75" customHeight="1" s="33"/>
    <row r="140" ht="15.75" customHeight="1" s="33"/>
    <row r="141" ht="15.75" customHeight="1" s="33"/>
    <row r="142" ht="15.75" customHeight="1" s="33"/>
    <row r="143" ht="15.75" customHeight="1" s="33"/>
    <row r="144" ht="15.75" customHeight="1" s="33"/>
    <row r="145" ht="15.75" customHeight="1" s="33"/>
    <row r="146" ht="15.75" customHeight="1" s="33"/>
    <row r="147" ht="15.75" customHeight="1" s="33"/>
    <row r="148" ht="15.75" customHeight="1" s="33"/>
    <row r="149" ht="15.75" customHeight="1" s="33"/>
    <row r="150" ht="15.75" customHeight="1" s="33"/>
    <row r="151" ht="15.75" customHeight="1" s="33"/>
    <row r="152" ht="15.75" customHeight="1" s="33"/>
    <row r="153" ht="15.75" customHeight="1" s="33"/>
    <row r="154" ht="15.75" customHeight="1" s="33"/>
    <row r="155" ht="15.75" customHeight="1" s="33"/>
    <row r="156" ht="15.75" customHeight="1" s="33"/>
    <row r="157" ht="15.75" customHeight="1" s="33"/>
    <row r="158" ht="15.75" customHeight="1" s="33"/>
    <row r="159" ht="15.75" customHeight="1" s="33"/>
    <row r="160" ht="15.75" customHeight="1" s="33"/>
    <row r="161" ht="15.75" customHeight="1" s="33"/>
    <row r="162" ht="15.75" customHeight="1" s="33"/>
    <row r="163" ht="15.75" customHeight="1" s="33"/>
    <row r="164" ht="15.75" customHeight="1" s="33"/>
    <row r="165" ht="15.75" customHeight="1" s="33"/>
    <row r="166" ht="15.75" customHeight="1" s="33"/>
    <row r="167" ht="15.75" customHeight="1" s="33"/>
    <row r="168" ht="15.75" customHeight="1" s="33"/>
    <row r="169" ht="15.75" customHeight="1" s="33"/>
    <row r="170" ht="15.75" customHeight="1" s="33"/>
    <row r="171" ht="15.75" customHeight="1" s="33"/>
    <row r="172" ht="15.75" customHeight="1" s="33"/>
    <row r="173" ht="15.75" customHeight="1" s="33"/>
    <row r="174" ht="15.75" customHeight="1" s="33"/>
    <row r="175" ht="15.75" customHeight="1" s="33"/>
    <row r="176" ht="15.75" customHeight="1" s="33"/>
    <row r="177" ht="15.75" customHeight="1" s="33"/>
    <row r="178" ht="15.75" customHeight="1" s="33"/>
    <row r="179" ht="15.75" customHeight="1" s="33"/>
    <row r="180" ht="15.75" customHeight="1" s="33"/>
    <row r="181" ht="15.75" customHeight="1" s="33"/>
    <row r="182" ht="15.75" customHeight="1" s="33"/>
    <row r="183" ht="15.75" customHeight="1" s="33"/>
    <row r="184" ht="15.75" customHeight="1" s="33"/>
    <row r="185" ht="15.75" customHeight="1" s="33"/>
    <row r="186" ht="15.75" customHeight="1" s="33"/>
    <row r="187" ht="15.75" customHeight="1" s="33"/>
    <row r="188" ht="15.75" customHeight="1" s="33"/>
    <row r="189" ht="15.75" customHeight="1" s="33"/>
    <row r="190" ht="15.75" customHeight="1" s="33"/>
    <row r="191" ht="15.75" customHeight="1" s="33"/>
    <row r="192" ht="15.75" customHeight="1" s="33"/>
    <row r="193" ht="15.75" customHeight="1" s="33"/>
    <row r="194" ht="15.75" customHeight="1" s="33"/>
    <row r="195" ht="15.75" customHeight="1" s="33"/>
    <row r="196" ht="15.75" customHeight="1" s="33"/>
    <row r="197" ht="15.75" customHeight="1" s="33"/>
    <row r="198" ht="15.75" customHeight="1" s="33"/>
    <row r="199" ht="15.75" customHeight="1" s="33"/>
    <row r="200" ht="15.75" customHeight="1" s="33"/>
    <row r="201" ht="15.75" customHeight="1" s="33"/>
    <row r="202" ht="15.75" customHeight="1" s="33"/>
    <row r="203" ht="15.75" customHeight="1" s="33"/>
    <row r="204" ht="15.75" customHeight="1" s="33"/>
    <row r="205" ht="15.75" customHeight="1" s="33"/>
    <row r="206" ht="15.75" customHeight="1" s="33"/>
    <row r="207" ht="15.75" customHeight="1" s="33"/>
    <row r="208" ht="15.75" customHeight="1" s="33"/>
    <row r="209" ht="15.75" customHeight="1" s="33"/>
    <row r="210" ht="15.75" customHeight="1" s="33"/>
    <row r="211" ht="15.75" customHeight="1" s="33"/>
    <row r="212" ht="15.75" customHeight="1" s="33"/>
    <row r="213" ht="15.75" customHeight="1" s="33"/>
    <row r="214" ht="15.75" customHeight="1" s="33"/>
    <row r="215" ht="15.75" customHeight="1" s="33"/>
    <row r="216" ht="15.75" customHeight="1" s="33"/>
    <row r="217" ht="15.75" customHeight="1" s="33"/>
    <row r="218" ht="15.75" customHeight="1" s="33"/>
    <row r="219" ht="15.75" customHeight="1" s="33"/>
    <row r="220" ht="15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2">
    <mergeCell ref="A2:F2"/>
    <mergeCell ref="A1:F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2026-07-18T18:02:20Z</dcterms:created>
  <dcterms:modified xsi:type="dcterms:W3CDTF">2026-08-03T15:36:35Z</dcterms:modified>
</cp:coreProperties>
</file>