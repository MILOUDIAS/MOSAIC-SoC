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name="Dashboard" sheetId="1" state="visible" r:id="rId1"/>
    <sheet name="Tasks" sheetId="2" state="visible" r:id="rId2"/>
    <sheet name="Chipathon Schedule" sheetId="3" state="visible" r:id="rId3"/>
    <sheet name="Risks" sheetId="4" state="visible" r:id="rId4"/>
    <sheet name="Weekly Reports" sheetId="5" state="visible" r:id="rId5"/>
  </sheets>
  <definedNames>
    <definedName name="_xlnm._FilterDatabase" localSheetId="1" hidden="1">'Tasks'!$A$3:$H$27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color theme="1"/>
      <sz val="11"/>
    </font>
    <font>
      <name val="Calibri"/>
      <color theme="0"/>
      <sz val="11"/>
      <scheme val="minor"/>
    </font>
    <font>
      <name val="Calibri"/>
      <color theme="1"/>
      <sz val="11"/>
      <scheme val="minor"/>
    </font>
    <font>
      <name val="Calibri"/>
      <color rgb="FFFA7D00"/>
      <sz val="11"/>
      <scheme val="minor"/>
    </font>
    <font>
      <name val="Calibri"/>
      <color rgb="FF9C6500"/>
      <sz val="11"/>
      <scheme val="minor"/>
    </font>
    <font>
      <name val="Calibri"/>
      <color rgb="FF9C0006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3F3F3F"/>
      <sz val="11"/>
      <scheme val="minor"/>
    </font>
    <font>
      <name val="Arial"/>
      <sz val="10"/>
    </font>
    <font>
      <name val="Calibri"/>
      <color rgb="FF3F3F76"/>
      <sz val="11"/>
      <scheme val="minor"/>
    </font>
    <font>
      <name val="Calibri"/>
      <b val="1"/>
      <color theme="3"/>
      <sz val="11"/>
      <scheme val="minor"/>
    </font>
    <font>
      <name val="Calibri"/>
      <b val="1"/>
      <color rgb="FFFA7D00"/>
      <sz val="11"/>
      <scheme val="minor"/>
    </font>
    <font>
      <name val="Calibri"/>
      <color rgb="FF006100"/>
      <sz val="11"/>
      <scheme val="minor"/>
    </font>
    <font>
      <name val="Calibri"/>
      <i val="1"/>
      <color rgb="FF7F7F7F"/>
      <sz val="11"/>
      <scheme val="minor"/>
    </font>
    <font>
      <name val="Calibri"/>
      <b val="1"/>
      <color theme="3"/>
      <sz val="15"/>
      <scheme val="minor"/>
    </font>
    <font>
      <name val="Calibri"/>
      <b val="1"/>
      <color theme="3"/>
      <sz val="18"/>
      <scheme val="minor"/>
    </font>
    <font>
      <name val="Calibri"/>
      <color indexed="2"/>
      <sz val="11"/>
      <scheme val="minor"/>
    </font>
    <font>
      <name val="Calibri"/>
      <color indexed="20"/>
      <sz val="11"/>
      <u val="single"/>
      <scheme val="minor"/>
    </font>
    <font>
      <name val="Calibri"/>
      <b val="1"/>
      <color theme="3"/>
      <sz val="13"/>
      <scheme val="minor"/>
    </font>
    <font>
      <name val="Calibri"/>
      <b val="1"/>
      <color indexed="65"/>
      <sz val="11"/>
      <scheme val="minor"/>
    </font>
    <font>
      <name val="Calibri"/>
      <color indexed="4"/>
      <sz val="11"/>
      <u val="single"/>
      <scheme val="minor"/>
    </font>
    <font>
      <name val="Arial"/>
      <b val="1"/>
      <color indexed="65"/>
      <sz val="15"/>
    </font>
    <font>
      <name val="Arial"/>
      <i val="1"/>
      <color indexed="65"/>
      <sz val="9"/>
    </font>
    <font>
      <name val="Arial"/>
      <b val="1"/>
      <color rgb="FF5A6478"/>
      <sz val="10"/>
    </font>
    <font>
      <name val="Arial"/>
      <b val="1"/>
      <color indexed="65"/>
      <sz val="9"/>
    </font>
    <font>
      <name val="Arial"/>
      <b val="1"/>
      <color rgb="FF2C6E8F"/>
      <sz val="18"/>
    </font>
    <font>
      <name val="Arial"/>
      <b val="1"/>
      <color rgb="FF2C7A4B"/>
      <sz val="18"/>
    </font>
    <font>
      <name val="Arial"/>
      <b val="1"/>
      <color rgb="FFD98E2B"/>
      <sz val="18"/>
    </font>
    <font>
      <name val="Arial"/>
      <b val="1"/>
      <color rgb="FFA8432F"/>
      <sz val="18"/>
    </font>
    <font>
      <name val="Arial"/>
      <b val="1"/>
      <color indexed="65"/>
      <sz val="10"/>
    </font>
    <font>
      <name val="Arial"/>
      <b val="1"/>
      <color rgb="FF1E2761"/>
      <sz val="10"/>
    </font>
    <font>
      <name val="Arial"/>
      <b val="1"/>
      <color rgb="FF2C7A4B"/>
      <sz val="9"/>
    </font>
    <font>
      <name val="Arial"/>
      <i val="1"/>
      <color rgb="FF5A6478"/>
      <sz val="9"/>
    </font>
    <font>
      <name val="Arial"/>
      <i val="1"/>
      <color rgb="FFA8432F"/>
      <sz val="9"/>
    </font>
    <font>
      <name val="Arial"/>
      <b val="1"/>
      <color rgb="FF16213A"/>
      <sz val="9"/>
    </font>
    <font>
      <name val="Arial"/>
      <color rgb="FF16213A"/>
      <sz val="9"/>
    </font>
    <font>
      <name val="Arial"/>
      <b val="1"/>
      <color rgb="FF1E2761"/>
      <sz val="9"/>
    </font>
  </fonts>
  <fills count="46">
    <fill>
      <patternFill/>
    </fill>
    <fill>
      <patternFill patternType="gray125"/>
    </fill>
    <fill>
      <patternFill patternType="solid">
        <fgColor theme="9" tint="0.399975585192419"/>
      </patternFill>
    </fill>
    <fill>
      <patternFill patternType="solid">
        <fgColor theme="9" tint="0.599993896298105"/>
      </patternFill>
    </fill>
    <fill>
      <patternFill patternType="solid">
        <fgColor theme="8" tint="0.399975585192419"/>
      </patternFill>
    </fill>
    <fill>
      <patternFill patternType="solid">
        <fgColor theme="9"/>
      </patternFill>
    </fill>
    <fill>
      <patternFill patternType="solid">
        <fgColor theme="8" tint="0.599993896298105"/>
      </patternFill>
    </fill>
    <fill>
      <patternFill patternType="solid">
        <fgColor theme="8" tint="0.799981688894314"/>
      </patternFill>
    </fill>
    <fill>
      <patternFill patternType="solid">
        <fgColor theme="7" tint="0.399975585192419"/>
      </patternFill>
    </fill>
    <fill>
      <patternFill patternType="solid">
        <fgColor theme="8"/>
      </patternFill>
    </fill>
    <fill>
      <patternFill patternType="solid">
        <fgColor theme="7" tint="0.599993896298105"/>
      </patternFill>
    </fill>
    <fill>
      <patternFill patternType="solid">
        <fgColor theme="7"/>
      </patternFill>
    </fill>
    <fill>
      <patternFill patternType="solid">
        <fgColor theme="6" tint="0.599993896298105"/>
      </patternFill>
    </fill>
    <fill>
      <patternFill patternType="solid">
        <fgColor theme="5" tint="0.399975585192419"/>
      </patternFill>
    </fill>
    <fill>
      <patternFill patternType="solid">
        <fgColor theme="6"/>
      </patternFill>
    </fill>
    <fill>
      <patternFill patternType="solid">
        <fgColor theme="5" tint="0.599993896298105"/>
      </patternFill>
    </fill>
    <fill>
      <patternFill patternType="solid">
        <fgColor theme="5" tint="0.799981688894314"/>
      </patternFill>
    </fill>
    <fill>
      <patternFill patternType="solid">
        <fgColor theme="5"/>
      </patternFill>
    </fill>
    <fill>
      <patternFill patternType="solid">
        <fgColor theme="4" tint="0.599993896298105"/>
      </patternFill>
    </fill>
    <fill>
      <patternFill patternType="solid">
        <fgColor theme="4" tint="0.799981688894314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4" tint="0.399975585192419"/>
      </patternFill>
    </fill>
    <fill>
      <patternFill patternType="solid">
        <fgColor rgb="FFFFC7CE"/>
      </patternFill>
    </fill>
    <fill>
      <patternFill patternType="solid">
        <fgColor theme="7" tint="0.799981688894314"/>
      </patternFill>
    </fill>
    <fill>
      <patternFill patternType="solid">
        <fgColor rgb="FFF2F2F2"/>
      </patternFill>
    </fill>
    <fill>
      <patternFill patternType="solid">
        <fgColor theme="6" tint="0.799981688894314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C6EFCE"/>
      </patternFill>
    </fill>
    <fill>
      <patternFill patternType="solid">
        <fgColor theme="9" tint="0.799981688894314"/>
      </patternFill>
    </fill>
    <fill>
      <patternFill patternType="solid">
        <fgColor rgb="FFA5A5A5"/>
      </patternFill>
    </fill>
    <fill>
      <patternFill patternType="solid">
        <fgColor theme="6" tint="0.399975585192419"/>
      </patternFill>
    </fill>
    <fill>
      <patternFill patternType="solid">
        <fgColor rgb="FF16213A"/>
        <bgColor rgb="FF1E2761"/>
      </patternFill>
    </fill>
    <fill>
      <patternFill patternType="solid">
        <fgColor rgb="FF2C6E8F"/>
        <bgColor rgb="FF2C7A4B"/>
      </patternFill>
    </fill>
    <fill>
      <patternFill patternType="solid">
        <fgColor rgb="FF2C7A4B"/>
        <bgColor rgb="FF2C6E8F"/>
      </patternFill>
    </fill>
    <fill>
      <patternFill patternType="solid">
        <fgColor rgb="FFD98E2B"/>
        <bgColor indexed="29"/>
      </patternFill>
    </fill>
    <fill>
      <patternFill patternType="solid">
        <fgColor rgb="FFA8432F"/>
        <bgColor indexed="25"/>
      </patternFill>
    </fill>
    <fill>
      <patternFill patternType="solid">
        <fgColor rgb="FFEEF3FB"/>
        <bgColor rgb="FFF2EEF6"/>
      </patternFill>
    </fill>
    <fill>
      <patternFill patternType="solid">
        <fgColor rgb="FF1E2761"/>
        <bgColor rgb="FF16213A"/>
      </patternFill>
    </fill>
    <fill>
      <patternFill patternType="solid">
        <fgColor rgb="FF5A6478"/>
        <bgColor rgb="FF2C6E8F"/>
      </patternFill>
    </fill>
    <fill>
      <patternFill patternType="solid">
        <fgColor rgb="FFFBF3E6"/>
        <bgColor rgb="FFF2EEF6"/>
      </patternFill>
    </fill>
    <fill>
      <patternFill patternType="solid">
        <fgColor rgb="FFE8F0EA"/>
        <bgColor rgb="FFEEEEEE"/>
      </patternFill>
    </fill>
    <fill>
      <patternFill patternType="solid">
        <fgColor rgb="FFF2EEF6"/>
        <bgColor rgb="FFEEEEEE"/>
      </patternFill>
    </fill>
    <fill>
      <patternFill patternType="solid">
        <fgColor rgb="FFEEEEEE"/>
        <bgColor rgb="FFF2EEF6"/>
      </patternFill>
    </fill>
    <fill>
      <patternFill patternType="solid">
        <fgColor rgb="FFFFF3CD"/>
        <bgColor rgb="FFFBF3E6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D0D6E2"/>
      </left>
      <right style="thin">
        <color rgb="FFD0D6E2"/>
      </right>
      <top style="thin">
        <color rgb="FFD0D6E2"/>
      </top>
      <bottom style="thin">
        <color rgb="FFD0D6E2"/>
      </bottom>
      <diagonal/>
    </border>
    <border>
      <left/>
      <right style="thin">
        <color rgb="FFD0D6E2"/>
      </right>
      <top style="thin">
        <color rgb="FFD0D6E2"/>
      </top>
      <bottom style="thin">
        <color rgb="FFD0D6E2"/>
      </bottom>
      <diagonal/>
    </border>
    <border>
      <left/>
      <right style="thin">
        <color rgb="FFD0D6E2"/>
      </right>
      <top style="thin">
        <color rgb="FFD0D6E2"/>
      </top>
      <bottom/>
      <diagonal/>
    </border>
    <border>
      <left style="thin">
        <color rgb="FFD0D6E2"/>
      </left>
      <right/>
      <top/>
      <bottom style="thin">
        <color rgb="FFD0D6E2"/>
      </bottom>
      <diagonal/>
    </border>
    <border>
      <left/>
      <right style="thin">
        <color rgb="FFD0D6E2"/>
      </right>
      <top/>
      <bottom style="thin">
        <color rgb="FFD0D6E2"/>
      </bottom>
      <diagonal/>
    </border>
    <border>
      <left style="thin">
        <color rgb="FFD0D6E2"/>
      </left>
      <right style="thin">
        <color rgb="FFD0D6E2"/>
      </right>
      <top/>
      <bottom style="thin">
        <color rgb="FFD0D6E2"/>
      </bottom>
      <diagonal/>
    </border>
    <border>
      <left/>
      <right/>
      <top style="thin">
        <color rgb="FFD0D6E2"/>
      </top>
      <bottom/>
      <diagonal/>
    </border>
    <border>
      <left style="thin">
        <color rgb="FFD0D6E2"/>
      </left>
      <right/>
      <top/>
      <bottom/>
      <diagonal/>
    </border>
    <border>
      <left/>
      <right style="thin">
        <color rgb="FFD0D6E2"/>
      </right>
      <top/>
      <bottom/>
      <diagonal/>
    </border>
    <border>
      <left style="thin">
        <color rgb="FFD0D6E2"/>
      </left>
      <right style="thin">
        <color rgb="FFD0D6E2"/>
      </right>
      <top/>
      <bottom/>
      <diagonal/>
    </border>
  </borders>
  <cellStyleXfs count="49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2" fillId="10" borderId="0" applyAlignment="1">
      <alignment vertical="center"/>
    </xf>
    <xf numFmtId="0" fontId="1" fillId="11" borderId="0" applyAlignment="1">
      <alignment vertical="center"/>
    </xf>
    <xf numFmtId="0" fontId="3" fillId="0" borderId="1" applyAlignment="1">
      <alignment vertical="center"/>
    </xf>
    <xf numFmtId="0" fontId="2" fillId="12" borderId="0" applyAlignment="1">
      <alignment vertical="center"/>
    </xf>
    <xf numFmtId="0" fontId="1" fillId="13" borderId="0" applyAlignment="1">
      <alignment vertical="center"/>
    </xf>
    <xf numFmtId="0" fontId="1" fillId="14" borderId="0" applyAlignment="1">
      <alignment vertical="center"/>
    </xf>
    <xf numFmtId="0" fontId="2" fillId="15" borderId="0" applyAlignment="1">
      <alignment vertical="center"/>
    </xf>
    <xf numFmtId="0" fontId="2" fillId="16" borderId="0" applyAlignment="1">
      <alignment vertical="center"/>
    </xf>
    <xf numFmtId="0" fontId="1" fillId="17" borderId="0" applyAlignment="1">
      <alignment vertical="center"/>
    </xf>
    <xf numFmtId="0" fontId="2" fillId="18" borderId="0" applyAlignment="1">
      <alignment vertical="center"/>
    </xf>
    <xf numFmtId="0" fontId="2" fillId="19" borderId="0" applyAlignment="1">
      <alignment vertical="center"/>
    </xf>
    <xf numFmtId="0" fontId="1" fillId="20" borderId="0" applyAlignment="1">
      <alignment vertical="center"/>
    </xf>
    <xf numFmtId="0" fontId="4" fillId="21" borderId="0" applyAlignment="1">
      <alignment vertical="center"/>
    </xf>
    <xf numFmtId="0" fontId="1" fillId="22" borderId="0" applyAlignment="1">
      <alignment vertical="center"/>
    </xf>
    <xf numFmtId="0" fontId="5" fillId="23" borderId="0" applyAlignment="1">
      <alignment vertical="center"/>
    </xf>
    <xf numFmtId="0" fontId="2" fillId="24" borderId="0" applyAlignment="1">
      <alignment vertical="center"/>
    </xf>
    <xf numFmtId="0" fontId="6" fillId="0" borderId="2" applyAlignment="1">
      <alignment vertical="center"/>
    </xf>
    <xf numFmtId="0" fontId="7" fillId="25" borderId="3" applyAlignment="1">
      <alignment vertical="center"/>
    </xf>
    <xf numFmtId="44" fontId="8" fillId="0" borderId="0"/>
    <xf numFmtId="0" fontId="2" fillId="26" borderId="0" applyAlignment="1">
      <alignment vertical="center"/>
    </xf>
    <xf numFmtId="0" fontId="2" fillId="27" borderId="4" applyAlignment="1">
      <alignment vertical="center"/>
    </xf>
    <xf numFmtId="0" fontId="9" fillId="28" borderId="5" applyAlignment="1">
      <alignment vertical="center"/>
    </xf>
    <xf numFmtId="0" fontId="10" fillId="0" borderId="0" applyAlignment="1">
      <alignment vertical="center"/>
    </xf>
    <xf numFmtId="0" fontId="11" fillId="25" borderId="5" applyAlignment="1">
      <alignment vertical="center"/>
    </xf>
    <xf numFmtId="0" fontId="12" fillId="29" borderId="0" applyAlignment="1">
      <alignment vertical="center"/>
    </xf>
    <xf numFmtId="0" fontId="10" fillId="0" borderId="6" applyAlignment="1">
      <alignment vertical="center"/>
    </xf>
    <xf numFmtId="0" fontId="13" fillId="0" borderId="0" applyAlignment="1">
      <alignment vertical="center"/>
    </xf>
    <xf numFmtId="0" fontId="14" fillId="0" borderId="7" applyAlignment="1">
      <alignment vertical="center"/>
    </xf>
    <xf numFmtId="41" fontId="8" fillId="0" borderId="0"/>
    <xf numFmtId="0" fontId="2" fillId="30" borderId="0" applyAlignment="1">
      <alignment vertical="center"/>
    </xf>
    <xf numFmtId="0" fontId="15" fillId="0" borderId="0" applyAlignment="1">
      <alignment vertical="center"/>
    </xf>
    <xf numFmtId="42" fontId="8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43" fontId="8" fillId="0" borderId="0"/>
    <xf numFmtId="0" fontId="19" fillId="31" borderId="8" applyAlignment="1">
      <alignment vertical="center"/>
    </xf>
    <xf numFmtId="0" fontId="1" fillId="32" borderId="0" applyAlignment="1">
      <alignment vertical="center"/>
    </xf>
    <xf numFmtId="9" fontId="8" fillId="0" borderId="0"/>
    <xf numFmtId="0" fontId="20" fillId="0" borderId="0" applyAlignment="1">
      <alignment vertical="center"/>
    </xf>
  </cellStyleXfs>
  <cellXfs count="40">
    <xf numFmtId="0" fontId="0" fillId="0" borderId="0" pivotButton="0" quotePrefix="0" xfId="0"/>
    <xf numFmtId="0" fontId="21" fillId="33" borderId="0" applyAlignment="1" pivotButton="0" quotePrefix="0" xfId="0">
      <alignment horizontal="left" vertical="center" wrapText="1" indent="1"/>
    </xf>
    <xf numFmtId="0" fontId="22" fillId="33" borderId="0" applyAlignment="1" pivotButton="0" quotePrefix="0" xfId="0">
      <alignment horizontal="left" vertical="center" wrapText="1" indent="1"/>
    </xf>
    <xf numFmtId="0" fontId="23" fillId="0" borderId="0" pivotButton="0" quotePrefix="0" xfId="0"/>
    <xf numFmtId="0" fontId="24" fillId="34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4" fillId="35" borderId="9" applyAlignment="1" pivotButton="0" quotePrefix="0" xfId="0">
      <alignment horizontal="center" vertical="center" wrapText="1"/>
    </xf>
    <xf numFmtId="0" fontId="24" fillId="36" borderId="9" applyAlignment="1" pivotButton="0" quotePrefix="0" xfId="0">
      <alignment horizontal="center" vertical="center" wrapText="1"/>
    </xf>
    <xf numFmtId="0" fontId="24" fillId="37" borderId="9" applyAlignment="1" pivotButton="0" quotePrefix="0" xfId="0">
      <alignment horizontal="center" vertical="center" wrapText="1"/>
    </xf>
    <xf numFmtId="0" fontId="25" fillId="38" borderId="9" applyAlignment="1" pivotButton="0" quotePrefix="0" xfId="0">
      <alignment horizontal="center" vertical="center" wrapText="1"/>
    </xf>
    <xf numFmtId="0" fontId="0" fillId="0" borderId="11" pivotButton="0" quotePrefix="0" xfId="0"/>
    <xf numFmtId="9" fontId="26" fillId="38" borderId="9" applyAlignment="1" pivotButton="0" quotePrefix="0" xfId="0">
      <alignment horizontal="center" vertical="center" wrapText="1"/>
    </xf>
    <xf numFmtId="0" fontId="27" fillId="38" borderId="9" applyAlignment="1" pivotButton="0" quotePrefix="0" xfId="0">
      <alignment horizontal="center" vertical="center" wrapText="1"/>
    </xf>
    <xf numFmtId="0" fontId="28" fillId="38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39" borderId="9" applyAlignment="1" pivotButton="0" quotePrefix="0" xfId="0">
      <alignment horizontal="center" vertical="center" wrapText="1"/>
    </xf>
    <xf numFmtId="0" fontId="30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left" vertical="center" wrapText="1" indent="1"/>
    </xf>
    <xf numFmtId="0" fontId="8" fillId="0" borderId="9" applyAlignment="1" pivotButton="0" quotePrefix="0" xfId="0">
      <alignment horizontal="center" vertical="center" wrapText="1"/>
    </xf>
    <xf numFmtId="0" fontId="31" fillId="0" borderId="9" applyAlignment="1" pivotButton="0" quotePrefix="0" xfId="0">
      <alignment horizontal="center" vertical="center" wrapText="1"/>
    </xf>
    <xf numFmtId="0" fontId="24" fillId="40" borderId="9" applyAlignment="1" pivotButton="0" quotePrefix="0" xfId="0">
      <alignment horizontal="center" vertical="center" wrapText="1"/>
    </xf>
    <xf numFmtId="0" fontId="32" fillId="0" borderId="0" pivotButton="0" quotePrefix="0" xfId="0"/>
    <xf numFmtId="0" fontId="33" fillId="0" borderId="0" pivotButton="0" quotePrefix="0" xfId="0"/>
    <xf numFmtId="0" fontId="34" fillId="38" borderId="9" applyAlignment="1" pivotButton="0" quotePrefix="0" xfId="0">
      <alignment horizontal="center" vertical="center" wrapText="1"/>
    </xf>
    <xf numFmtId="0" fontId="34" fillId="41" borderId="9" applyAlignment="1" pivotButton="0" quotePrefix="0" xfId="0">
      <alignment horizontal="center" vertical="center" wrapText="1"/>
    </xf>
    <xf numFmtId="0" fontId="34" fillId="42" borderId="9" applyAlignment="1" pivotButton="0" quotePrefix="0" xfId="0">
      <alignment horizontal="center" vertical="center" wrapText="1"/>
    </xf>
    <xf numFmtId="0" fontId="34" fillId="43" borderId="9" applyAlignment="1" pivotButton="0" quotePrefix="0" xfId="0">
      <alignment horizontal="center" vertical="center" wrapText="1"/>
    </xf>
    <xf numFmtId="0" fontId="35" fillId="44" borderId="9" applyAlignment="1" pivotButton="0" quotePrefix="0" xfId="0">
      <alignment horizontal="left" vertical="center" wrapText="1" indent="1"/>
    </xf>
    <xf numFmtId="0" fontId="35" fillId="38" borderId="9" applyAlignment="1" pivotButton="0" quotePrefix="0" xfId="0">
      <alignment horizontal="left" vertical="center" wrapText="1" indent="1"/>
    </xf>
    <xf numFmtId="0" fontId="8" fillId="45" borderId="9" applyAlignment="1" pivotButton="0" quotePrefix="0" xfId="0">
      <alignment horizontal="center" vertical="center" wrapText="1"/>
    </xf>
    <xf numFmtId="0" fontId="8" fillId="45" borderId="9" applyAlignment="1" pivotButton="0" quotePrefix="0" xfId="0">
      <alignment horizontal="left" vertical="center" wrapText="1" indent="1"/>
    </xf>
    <xf numFmtId="0" fontId="35" fillId="45" borderId="9" applyAlignment="1" pivotButton="0" quotePrefix="0" xfId="0">
      <alignment horizontal="left" vertical="center" wrapText="1" indent="1"/>
    </xf>
    <xf numFmtId="0" fontId="36" fillId="45" borderId="9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5" fillId="41" borderId="9" applyAlignment="1" pivotButton="0" quotePrefix="0" xfId="0">
      <alignment horizontal="left" vertical="center" wrapText="1" indent="1"/>
    </xf>
    <xf numFmtId="0" fontId="35" fillId="42" borderId="9" applyAlignment="1" pivotButton="0" quotePrefix="0" xfId="0">
      <alignment horizontal="left" vertical="center" wrapText="1" indent="1"/>
    </xf>
    <xf numFmtId="0" fontId="35" fillId="43" borderId="9" applyAlignment="1" pivotButton="0" quotePrefix="0" xfId="0">
      <alignment horizontal="left" vertical="center" wrapText="1" indent="1"/>
    </xf>
    <xf numFmtId="0" fontId="29" fillId="34" borderId="9" applyAlignment="1" pivotButton="0" quotePrefix="0" xfId="0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F22"/>
  <sheetViews>
    <sheetView showGridLines="0" zoomScale="100" workbookViewId="0">
      <pane ySplit="2" topLeftCell="A3" activePane="bottomLeft" state="frozen"/>
      <selection activeCell="B24" activeCellId="0" sqref="B24"/>
    </sheetView>
  </sheetViews>
  <sheetFormatPr baseColWidth="8" defaultColWidth="8.68333333333333" defaultRowHeight="14.25"/>
  <cols>
    <col width="5" customWidth="1" min="1" max="1"/>
    <col width="46" customWidth="1" min="2" max="2"/>
    <col width="14" customWidth="1" min="3" max="3"/>
    <col width="8" customWidth="1" min="4" max="4"/>
    <col width="10" customWidth="1" min="5" max="5"/>
    <col width="14" customWidth="1" min="6" max="6"/>
  </cols>
  <sheetData>
    <row r="1" ht="25.5" customHeight="1">
      <c r="A1" s="1" t="inlineStr">
        <is>
          <t>MOSAIC-SoC — Project Dashboard</t>
        </is>
      </c>
    </row>
    <row r="2" ht="15.75" customHeight="1">
      <c r="A2" s="2" t="inlineStr">
        <is>
          <t>IEEE SSCS Chipathon 2026 · Track D · Team D15 JustVibeAndTapeout · github.com/MILOUDIAS/MOSAIC-SoC</t>
        </is>
      </c>
    </row>
    <row r="4">
      <c r="A4" s="3" t="inlineStr">
        <is>
          <t>OVERALL PROGRESS</t>
        </is>
      </c>
    </row>
    <row r="5" ht="22.35" customHeight="1">
      <c r="A5" s="4" t="inlineStr">
        <is>
          <t>Tasks Complete</t>
        </is>
      </c>
      <c r="B5" s="5" t="n"/>
      <c r="C5" s="6" t="inlineStr">
        <is>
          <t>% Complete</t>
        </is>
      </c>
      <c r="D5" s="7" t="inlineStr">
        <is>
          <t>In Progress</t>
        </is>
      </c>
      <c r="E5" s="8" t="inlineStr">
        <is>
          <t>Blocked</t>
        </is>
      </c>
      <c r="F5" s="5" t="n"/>
    </row>
    <row r="6" ht="21.75" customHeight="1">
      <c r="A6" s="9">
        <f>COUNTIF(Tasks!E4:E200,"Done")&amp;" / "&amp;COUNTA(Tasks!B4:B200)</f>
        <v/>
      </c>
      <c r="B6" s="10" t="n"/>
      <c r="C6" s="11">
        <f>IF(COUNTA(Tasks!B4:B200)=0,0,COUNTIF(Tasks!E4:E200,"Done")/COUNTA(Tasks!B4:B200))</f>
        <v/>
      </c>
      <c r="D6" s="12">
        <f>COUNTIF(Tasks!E4:E200,"In Progress")</f>
        <v/>
      </c>
      <c r="E6" s="13">
        <f>COUNTIF(Tasks!E4:E200,"Blocked")</f>
        <v/>
      </c>
      <c r="F6" s="10" t="n"/>
    </row>
    <row r="7" ht="21.75" customHeight="1">
      <c r="A7" s="14" t="n"/>
      <c r="B7" s="15" t="n"/>
      <c r="C7" s="16" t="n"/>
      <c r="D7" s="16" t="n"/>
      <c r="E7" s="14" t="n"/>
      <c r="F7" s="15" t="n"/>
    </row>
    <row r="9">
      <c r="A9" s="3" t="inlineStr">
        <is>
          <t>KEY MILESTONES</t>
        </is>
      </c>
    </row>
    <row r="10" ht="24" customHeight="1">
      <c r="A10" s="17" t="inlineStr">
        <is>
          <t>#</t>
        </is>
      </c>
      <c r="B10" s="17" t="inlineStr">
        <is>
          <t>Milestone</t>
        </is>
      </c>
      <c r="C10" s="17" t="inlineStr">
        <is>
          <t>Target Date</t>
        </is>
      </c>
      <c r="D10" s="17" t="inlineStr">
        <is>
          <t>Week</t>
        </is>
      </c>
      <c r="E10" s="17" t="inlineStr">
        <is>
          <t>Gate</t>
        </is>
      </c>
      <c r="F10" s="17" t="inlineStr">
        <is>
          <t>Status</t>
        </is>
      </c>
    </row>
    <row r="11">
      <c r="A11" s="18" t="inlineStr">
        <is>
          <t>M0</t>
        </is>
      </c>
      <c r="B11" s="19" t="inlineStr">
        <is>
          <t>Proposal accepted, team locked</t>
        </is>
      </c>
      <c r="C11" s="20" t="inlineStr">
        <is>
          <t>Jun 12</t>
        </is>
      </c>
      <c r="D11" s="20" t="inlineStr">
        <is>
          <t>W24</t>
        </is>
      </c>
      <c r="E11" s="6" t="inlineStr">
        <is>
          <t>Done</t>
        </is>
      </c>
      <c r="F11" s="21" t="inlineStr">
        <is>
          <t>Done</t>
        </is>
      </c>
    </row>
    <row r="12" ht="51" customHeight="1">
      <c r="A12" s="18" t="inlineStr">
        <is>
          <t>M1</t>
        </is>
      </c>
      <c r="B12" s="19" t="inlineStr">
        <is>
          <t>Environment + schema + SCI wrappers pass formal</t>
        </is>
      </c>
      <c r="C12" s="20" t="inlineStr">
        <is>
          <t>Jun 26</t>
        </is>
      </c>
      <c r="D12" s="20" t="inlineStr">
        <is>
          <t>W26</t>
        </is>
      </c>
      <c r="E12" s="22" t="inlineStr">
        <is>
          <t>Internal</t>
        </is>
      </c>
      <c r="F12" s="20" t="inlineStr">
        <is>
          <t>Done (functional; riscv-formal deferred)</t>
        </is>
      </c>
    </row>
    <row r="13" ht="51" customHeight="1">
      <c r="A13" s="18" t="inlineStr">
        <is>
          <t>M2</t>
        </is>
      </c>
      <c r="B13" s="19" t="inlineStr">
        <is>
          <t>RTL elaboration review (config → RTL)</t>
        </is>
      </c>
      <c r="C13" s="20" t="inlineStr">
        <is>
          <t>Jul 3</t>
        </is>
      </c>
      <c r="D13" s="20" t="inlineStr">
        <is>
          <t>W27</t>
        </is>
      </c>
      <c r="E13" s="4" t="inlineStr">
        <is>
          <t>Review</t>
        </is>
      </c>
      <c r="F13" s="20" t="inlineStr">
        <is>
          <t>Done Jun 30 — full-SoC elaboration clean</t>
        </is>
      </c>
    </row>
    <row r="14" ht="25.5" customHeight="1">
      <c r="A14" s="18" t="inlineStr">
        <is>
          <t>M3</t>
        </is>
      </c>
      <c r="B14" s="19" t="inlineStr">
        <is>
          <t>Per-core verification clean</t>
        </is>
      </c>
      <c r="C14" s="20" t="inlineStr">
        <is>
          <t>Jul 10</t>
        </is>
      </c>
      <c r="D14" s="20" t="inlineStr">
        <is>
          <t>W28</t>
        </is>
      </c>
      <c r="E14" s="4" t="inlineStr">
        <is>
          <t>Review</t>
        </is>
      </c>
      <c r="F14" s="20" t="inlineStr">
        <is>
          <t>Done Jul 10 — all suites green</t>
        </is>
      </c>
    </row>
    <row r="15" ht="38.25" customHeight="1">
      <c r="A15" s="18" t="inlineStr">
        <is>
          <t>M4</t>
        </is>
      </c>
      <c r="B15" s="19" t="inlineStr">
        <is>
          <t>Full-SoC sim + scheduler demo → GO/NO-GO</t>
        </is>
      </c>
      <c r="C15" s="20" t="inlineStr">
        <is>
          <t>Jul 17</t>
        </is>
      </c>
      <c r="D15" s="20" t="inlineStr">
        <is>
          <t>W29</t>
        </is>
      </c>
      <c r="E15" s="8" t="inlineStr">
        <is>
          <t>CRITICAL</t>
        </is>
      </c>
      <c r="F15" s="20" t="inlineStr">
        <is>
          <t>Ready — sim + sched demo already green</t>
        </is>
      </c>
    </row>
    <row r="16" ht="38.25" customHeight="1">
      <c r="A16" s="18" t="inlineStr">
        <is>
          <t>M5</t>
        </is>
      </c>
      <c r="B16" s="19" t="inlineStr">
        <is>
          <t>First DRC-clean P&amp;R (dry-run GDS)</t>
        </is>
      </c>
      <c r="C16" s="20" t="inlineStr">
        <is>
          <t>Jul 31</t>
        </is>
      </c>
      <c r="D16" s="20" t="inlineStr">
        <is>
          <t>W31</t>
        </is>
      </c>
      <c r="E16" s="7" t="inlineStr">
        <is>
          <t>Dry-run</t>
        </is>
      </c>
      <c r="F16" s="20" t="inlineStr">
        <is>
          <t>Done Aug 1 — Block A macro DRC/LVS clean (Magic 0, KLayout 0, Netgen "circuits match uniquely", XOR 0, antenna 0, IR 104 uV)</t>
        </is>
      </c>
    </row>
    <row r="17">
      <c r="A17" s="18" t="inlineStr">
        <is>
          <t>M6</t>
        </is>
      </c>
      <c r="B17" s="19" t="inlineStr">
        <is>
          <t>Top-level layout + LVS clean</t>
        </is>
      </c>
      <c r="C17" s="20" t="inlineStr">
        <is>
          <t>Aug 21</t>
        </is>
      </c>
      <c r="D17" s="20" t="inlineStr">
        <is>
          <t>W34</t>
        </is>
      </c>
      <c r="E17" s="4" t="inlineStr">
        <is>
          <t>Review</t>
        </is>
      </c>
      <c r="F17" s="20" t="inlineStr">
        <is>
          <t>In Progress - macro re-hardened 2026-08-02 with the bug-31 fix: DRC/LVS/XOR/antenna all 0, max-cap 0, max-fanout 1, max-slew 591 vs the library's 4.0 ns. Top-level layout is the MPW integrator's</t>
        </is>
      </c>
    </row>
    <row r="18">
      <c r="A18" s="18" t="inlineStr">
        <is>
          <t>M7</t>
        </is>
      </c>
      <c r="B18" s="19" t="inlineStr">
        <is>
          <t>FINAL DRC-clean GDSII submitted</t>
        </is>
      </c>
      <c r="C18" s="20" t="inlineStr">
        <is>
          <t>Aug 28</t>
        </is>
      </c>
      <c r="D18" s="20" t="inlineStr">
        <is>
          <t>W35</t>
        </is>
      </c>
      <c r="E18" s="6" t="inlineStr">
        <is>
          <t>FINAL</t>
        </is>
      </c>
      <c r="F18" s="20" t="inlineStr">
        <is>
          <t>Not Started — blocked on re-harden + slew/cap/fanout repair</t>
        </is>
      </c>
    </row>
    <row r="20">
      <c r="A20" s="23" t="inlineStr">
        <is>
          <t>Update task statuses in the Tasks sheet — the KPI cards above recalculate automatically.</t>
        </is>
      </c>
    </row>
    <row r="21">
      <c r="A21" s="24" t="inlineStr">
        <is>
          <t>Dates are subject to change (per organisers). Re-check the schedule repo &amp; Discord each phase.</t>
        </is>
      </c>
    </row>
    <row r="22">
      <c r="A22" t="inlineStr">
        <is>
          <t>M: stands for Milestone</t>
        </is>
      </c>
    </row>
  </sheetData>
  <mergeCells count="8">
    <mergeCell ref="A2:F2"/>
    <mergeCell ref="E6:F7"/>
    <mergeCell ref="A1:F1"/>
    <mergeCell ref="A5:B5"/>
    <mergeCell ref="A6:B7"/>
    <mergeCell ref="E5:F5"/>
    <mergeCell ref="C6:C7"/>
    <mergeCell ref="D6:D7"/>
  </mergeCells>
  <printOptions headings="0" gridLines="0"/>
  <pageMargins left="0.3" right="0.3" top="0.4000000000000001" bottom="0.4000000000000001" header="0.5118110236220469" footer="0.5118110236220469"/>
  <pageSetup orientation="landscape" paperSize="1" scale="100" fitToHeight="0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H48"/>
  <sheetViews>
    <sheetView showGridLines="0" topLeftCell="A1" zoomScale="100" workbookViewId="0">
      <pane ySplit="3" topLeftCell="A4" activePane="bottomLeft" state="frozen"/>
      <selection activeCell="A1" activeCellId="0" sqref="A1:H1"/>
    </sheetView>
  </sheetViews>
  <sheetFormatPr baseColWidth="8" defaultColWidth="8.68333333333333" defaultRowHeight="15"/>
  <cols>
    <col width="10" customWidth="1" min="1" max="1"/>
    <col width="42" customWidth="1" min="2" max="2"/>
    <col width="16" customWidth="1" min="3" max="3"/>
    <col width="7" customWidth="1" min="4" max="4"/>
    <col width="14" customWidth="1" min="5" max="5"/>
    <col width="11" customWidth="1" min="6" max="7"/>
    <col width="40" customWidth="1" min="8" max="8"/>
  </cols>
  <sheetData>
    <row r="1" ht="25.5" customHeight="1">
      <c r="A1" s="1" t="inlineStr">
        <is>
          <t>Task Tracker</t>
        </is>
      </c>
    </row>
    <row r="2" ht="15.75" customHeight="1">
      <c r="A2" s="2" t="inlineStr">
        <is>
          <t>Set Status to Done / In Progress / Blocked / Not Started — Dashboard rolls these up. Owner &amp; dates editable.</t>
        </is>
      </c>
    </row>
    <row r="3" ht="24" customHeight="1">
      <c r="A3" s="17" t="inlineStr">
        <is>
          <t>Phase</t>
        </is>
      </c>
      <c r="B3" s="17" t="inlineStr">
        <is>
          <t>Task</t>
        </is>
      </c>
      <c r="C3" s="17" t="inlineStr">
        <is>
          <t>Owner</t>
        </is>
      </c>
      <c r="D3" s="17" t="inlineStr">
        <is>
          <t>Week</t>
        </is>
      </c>
      <c r="E3" s="17" t="inlineStr">
        <is>
          <t>Status</t>
        </is>
      </c>
      <c r="F3" s="17" t="inlineStr">
        <is>
          <t>Start</t>
        </is>
      </c>
      <c r="G3" s="17" t="inlineStr">
        <is>
          <t>Due</t>
        </is>
      </c>
      <c r="H3" s="17" t="inlineStr">
        <is>
          <t>Notes / Deliverable</t>
        </is>
      </c>
    </row>
    <row r="4">
      <c r="A4" s="25" t="inlineStr">
        <is>
          <t>Phase 2</t>
        </is>
      </c>
      <c r="B4" s="19" t="inlineStr">
        <is>
          <t>Scaffold repo (rtl/ config/ flow/ verif/ agent/)</t>
        </is>
      </c>
      <c r="C4" s="20" t="inlineStr">
        <is>
          <t>All</t>
        </is>
      </c>
      <c r="D4" s="20" t="inlineStr">
        <is>
          <t>W24</t>
        </is>
      </c>
      <c r="E4" s="20" t="inlineStr">
        <is>
          <t>Done</t>
        </is>
      </c>
      <c r="F4" s="20" t="inlineStr">
        <is>
          <t>Jun 12</t>
        </is>
      </c>
      <c r="G4" s="20" t="inlineStr">
        <is>
          <t>Jun 18</t>
        </is>
      </c>
      <c r="H4" s="19" t="inlineStr">
        <is>
          <t>Repo live: hw/ util/ tb/ sw/ flow/ harness/ configs/ refs/</t>
        </is>
      </c>
    </row>
    <row r="5">
      <c r="A5" s="25" t="inlineStr">
        <is>
          <t>Phase 2</t>
        </is>
      </c>
      <c r="B5" s="19" t="inlineStr">
        <is>
          <t>Pin IIC-OSIC-TOOLS container + commit hash</t>
        </is>
      </c>
      <c r="C5" s="20" t="inlineStr">
        <is>
          <t>All</t>
        </is>
      </c>
      <c r="D5" s="20" t="inlineStr">
        <is>
          <t>W24</t>
        </is>
      </c>
      <c r="E5" s="20" t="inlineStr">
        <is>
          <t>In Progress</t>
        </is>
      </c>
      <c r="F5" s="20" t="inlineStr">
        <is>
          <t>Jun 12</t>
        </is>
      </c>
      <c r="G5" s="20" t="inlineStr">
        <is>
          <t>Jun 18</t>
        </is>
      </c>
      <c r="H5" s="19" t="inlineStr">
        <is>
          <t>Local toolchain in use; Verilator pinned to 5.050 (bug 21). Container pin + docs/ENV.md still open</t>
        </is>
      </c>
    </row>
    <row r="6">
      <c r="A6" s="25" t="inlineStr">
        <is>
          <t>Phase 2</t>
        </is>
      </c>
      <c r="B6" s="19" t="inlineStr">
        <is>
          <t>CI runs make lint on push</t>
        </is>
      </c>
      <c r="C6" s="20" t="inlineStr">
        <is>
          <t>All</t>
        </is>
      </c>
      <c r="D6" s="20" t="inlineStr">
        <is>
          <t>W24</t>
        </is>
      </c>
      <c r="E6" s="20" t="inlineStr">
        <is>
          <t>Not Started</t>
        </is>
      </c>
      <c r="F6" s="20" t="inlineStr">
        <is>
          <t>Jun 14</t>
        </is>
      </c>
      <c r="G6" s="20" t="inlineStr">
        <is>
          <t>Jun 20</t>
        </is>
      </c>
      <c r="H6" s="19" t="inlineStr">
        <is>
          <t>GitHub Actions not set up yet</t>
        </is>
      </c>
    </row>
    <row r="7">
      <c r="A7" s="25" t="inlineStr">
        <is>
          <t>Phase 2</t>
        </is>
      </c>
      <c r="B7" s="19" t="inlineStr">
        <is>
          <t>mosaic.yaml schema v0 (JSON-Schema)</t>
        </is>
      </c>
      <c r="C7" s="20" t="inlineStr">
        <is>
          <t>MILOUDIAS</t>
        </is>
      </c>
      <c r="D7" s="20" t="inlineStr">
        <is>
          <t>W25</t>
        </is>
      </c>
      <c r="E7" s="20" t="inlineStr">
        <is>
          <t>Done</t>
        </is>
      </c>
      <c r="F7" s="20" t="inlineStr">
        <is>
          <t>Jun 19</t>
        </is>
      </c>
      <c r="G7" s="20" t="inlineStr">
        <is>
          <t>Jun 25</t>
        </is>
      </c>
      <c r="H7" s="19" t="inlineStr">
        <is>
          <t>Python-validated schema (mosaic_config.py) + bus_opts validation; 15 pytests green</t>
        </is>
      </c>
    </row>
    <row r="8">
      <c r="A8" s="25" t="inlineStr">
        <is>
          <t>Phase 2</t>
        </is>
      </c>
      <c r="B8" s="19" t="inlineStr">
        <is>
          <t>SCI (OBI 1.3) wrapper spec</t>
        </is>
      </c>
      <c r="C8" s="20" t="inlineStr">
        <is>
          <t>MILOUDIAS</t>
        </is>
      </c>
      <c r="D8" s="20" t="inlineStr">
        <is>
          <t>W25</t>
        </is>
      </c>
      <c r="E8" s="20" t="inlineStr">
        <is>
          <t>Done</t>
        </is>
      </c>
      <c r="F8" s="20" t="inlineStr">
        <is>
          <t>Jun 19</t>
        </is>
      </c>
      <c r="G8" s="20" t="inlineStr">
        <is>
          <t>Jun 25</t>
        </is>
      </c>
      <c r="H8" s="19" t="inlineStr">
        <is>
          <t>SCI spec realised in 3 wrappers (fazyrv/serv/ibex): OBI bridge, dormancy + sleep/wake handshake, core_sleep_o</t>
        </is>
      </c>
    </row>
    <row r="9">
      <c r="A9" s="25" t="inlineStr">
        <is>
          <t>Phase 2</t>
        </is>
      </c>
      <c r="B9" s="19" t="inlineStr">
        <is>
          <t>Wrap SERV in SCI; builds</t>
        </is>
      </c>
      <c r="C9" s="20" t="inlineStr">
        <is>
          <t>MILOUDIAS</t>
        </is>
      </c>
      <c r="D9" s="20" t="inlineStr">
        <is>
          <t>W25</t>
        </is>
      </c>
      <c r="E9" s="20" t="inlineStr">
        <is>
          <t>Done</t>
        </is>
      </c>
      <c r="F9" s="20" t="inlineStr">
        <is>
          <t>Jun 22</t>
        </is>
      </c>
      <c r="G9" s="20" t="inlineStr">
        <is>
          <t>Jun 28</t>
        </is>
      </c>
      <c r="H9" s="19" t="inlineStr">
        <is>
          <t>serv_sci.sv verified: cocotb wake-loop + full-SoC firmware sim (QERV reuses it at W=4)</t>
        </is>
      </c>
    </row>
    <row r="10">
      <c r="A10" s="25" t="inlineStr">
        <is>
          <t>Phase 2</t>
        </is>
      </c>
      <c r="B10" s="19" t="inlineStr">
        <is>
          <t>SERV &amp; FazyRV pass riscv-formal</t>
        </is>
      </c>
      <c r="C10" s="20" t="inlineStr">
        <is>
          <t>yacine-hk</t>
        </is>
      </c>
      <c r="D10" s="20" t="inlineStr">
        <is>
          <t>W26</t>
        </is>
      </c>
      <c r="E10" s="20" t="inlineStr">
        <is>
          <t>Not Started</t>
        </is>
      </c>
      <c r="F10" s="20" t="inlineStr">
        <is>
          <t>Jun 26</t>
        </is>
      </c>
      <c r="G10" s="20" t="inlineStr">
        <is>
          <t>Jul 2</t>
        </is>
      </c>
      <c r="H10" s="19" t="inlineStr">
        <is>
          <t>Deprioritised: functional verification via cocotb + full-SoC sims instead (riscv-formal = stretch, N-09)</t>
        </is>
      </c>
    </row>
    <row r="11">
      <c r="A11" s="25" t="inlineStr">
        <is>
          <t>Phase 2</t>
        </is>
      </c>
      <c r="B11" s="19" t="inlineStr">
        <is>
          <t>config-author skill scaffold (NL→YAML)</t>
        </is>
      </c>
      <c r="C11" s="20" t="inlineStr">
        <is>
          <t>trabdelbasset</t>
        </is>
      </c>
      <c r="D11" s="20" t="inlineStr">
        <is>
          <t>W26</t>
        </is>
      </c>
      <c r="E11" s="20" t="inlineStr">
        <is>
          <t>Done</t>
        </is>
      </c>
      <c r="F11" s="20" t="inlineStr">
        <is>
          <t>Jun 26</t>
        </is>
      </c>
      <c r="G11" s="20" t="inlineStr">
        <is>
          <t>Jul 2</t>
        </is>
      </c>
      <c r="H11" s="19" t="inlineStr">
        <is>
          <t>harness/skills/config_author.py: generate/validate, 3 presets, CLI</t>
        </is>
      </c>
    </row>
    <row r="12">
      <c r="A12" s="26" t="inlineStr">
        <is>
          <t>Phase 3</t>
        </is>
      </c>
      <c r="B12" s="19" t="inlineStr">
        <is>
          <t>Generator emits RTL + memory map from config</t>
        </is>
      </c>
      <c r="C12" s="20" t="inlineStr">
        <is>
          <t>MILOUDIAS</t>
        </is>
      </c>
      <c r="D12" s="20" t="inlineStr">
        <is>
          <t>W27</t>
        </is>
      </c>
      <c r="E12" s="20" t="inlineStr">
        <is>
          <t>Done</t>
        </is>
      </c>
      <c r="F12" s="20" t="inlineStr">
        <is>
          <t>Jul 3</t>
        </is>
      </c>
      <c r="G12" s="20" t="inlineStr">
        <is>
          <t>Jul 9</t>
        </is>
      </c>
      <c r="H12" s="19" t="inlineStr">
        <is>
          <t>mcu_gen.py + 37 Mako templates; make mosaic-gen EXIT=0; memory map emitted (M2 passed Jun 30)</t>
        </is>
      </c>
    </row>
    <row r="13">
      <c r="A13" s="26" t="inlineStr">
        <is>
          <t>Phase 3</t>
        </is>
      </c>
      <c r="B13" s="19" t="inlineStr">
        <is>
          <t>Integrate OBI crossbar + Task Dispatch Unit</t>
        </is>
      </c>
      <c r="C13" s="20" t="inlineStr">
        <is>
          <t>MILOUDIAS</t>
        </is>
      </c>
      <c r="D13" s="20" t="inlineStr">
        <is>
          <t>W27</t>
        </is>
      </c>
      <c r="E13" s="20" t="inlineStr">
        <is>
          <t>Done</t>
        </is>
      </c>
      <c r="F13" s="20" t="inlineStr">
        <is>
          <t>Jul 3</t>
        </is>
      </c>
      <c r="G13" s="20" t="inlineStr">
        <is>
          <t>Jul 9</t>
        </is>
      </c>
      <c r="H13" s="19" t="inlineStr">
        <is>
          <t>TDU 22/22 unit + SoC cocotb; THREE fabrics done: OBI xbar, log (LIC), FlooNoC. GE count pending synthesis</t>
        </is>
      </c>
    </row>
    <row r="14">
      <c r="A14" s="26" t="inlineStr">
        <is>
          <t>Phase 3</t>
        </is>
      </c>
      <c r="B14" s="19" t="inlineStr">
        <is>
          <t>Per-core RISC-V Arch Tests via cocotb</t>
        </is>
      </c>
      <c r="C14" s="20" t="inlineStr">
        <is>
          <t>yacine-hk</t>
        </is>
      </c>
      <c r="D14" s="20" t="inlineStr">
        <is>
          <t>W28</t>
        </is>
      </c>
      <c r="E14" s="20" t="inlineStr">
        <is>
          <t>In Progress</t>
        </is>
      </c>
      <c r="F14" s="20" t="inlineStr">
        <is>
          <t>Jul 10</t>
        </is>
      </c>
      <c r="G14" s="20" t="inlineStr">
        <is>
          <t>Jul 16</t>
        </is>
      </c>
      <c r="H14" s="19" t="inlineStr">
        <is>
          <t>Functional per-core sims green for all 9 cores (SCI cocotb, all-TITAN SMP, picorv32/snitch/cva6 wake demos); official arch-test suite not run</t>
        </is>
      </c>
    </row>
    <row r="15">
      <c r="A15" s="26" t="inlineStr">
        <is>
          <t>Phase 3</t>
        </is>
      </c>
      <c r="B15" s="19" t="inlineStr">
        <is>
          <t>Peripheral tests (UART/GPIO/timer)</t>
        </is>
      </c>
      <c r="C15" s="20" t="inlineStr">
        <is>
          <t>yacine-hk</t>
        </is>
      </c>
      <c r="D15" s="20" t="inlineStr">
        <is>
          <t>W28</t>
        </is>
      </c>
      <c r="E15" s="20" t="inlineStr">
        <is>
          <t>Not Started</t>
        </is>
      </c>
      <c r="F15" s="20" t="inlineStr">
        <is>
          <t>Jul 10</t>
        </is>
      </c>
      <c r="G15" s="20" t="inlineStr">
        <is>
          <t>Jul 16</t>
        </is>
      </c>
      <c r="H15" s="19" t="inlineStr">
        <is>
          <t>Peripherals only exercised implicitly (soc_ctrl, SPI boot path) — no dedicated UART/GPIO/timer TB yet</t>
        </is>
      </c>
    </row>
    <row r="16">
      <c r="A16" s="26" t="inlineStr">
        <is>
          <t>Phase 3</t>
        </is>
      </c>
      <c r="B16" s="19" t="inlineStr">
        <is>
          <t>Full-SoC Verilator sim (sensors+IIR+UART)</t>
        </is>
      </c>
      <c r="C16" s="20" t="inlineStr">
        <is>
          <t>MILOUDIAS</t>
        </is>
      </c>
      <c r="D16" s="20" t="inlineStr">
        <is>
          <t>W29</t>
        </is>
      </c>
      <c r="E16" s="20" t="inlineStr">
        <is>
          <t>Done</t>
        </is>
      </c>
      <c r="F16" s="20" t="inlineStr">
        <is>
          <t>Jul 17</t>
        </is>
      </c>
      <c r="G16" s="20" t="inlineStr">
        <is>
          <t>Jul 17</t>
        </is>
      </c>
      <c r="H16" s="19" t="inlineStr">
        <is>
          <t>Early (Jul 9): run_fw.sh production C firmware on 7-hart PoC — EXIT SUCCESS (D-60); workloads via TDU tasks</t>
        </is>
      </c>
    </row>
    <row r="17">
      <c r="A17" s="26" t="inlineStr">
        <is>
          <t>Phase 3</t>
        </is>
      </c>
      <c r="B17" s="19" t="inlineStr">
        <is>
          <t>TDU scheduler demo (3 modes, migration ≤2 ticks)</t>
        </is>
      </c>
      <c r="C17" s="20" t="inlineStr">
        <is>
          <t>MILOUDIAS</t>
        </is>
      </c>
      <c r="D17" s="20" t="inlineStr">
        <is>
          <t>W29</t>
        </is>
      </c>
      <c r="E17" s="20" t="inlineStr">
        <is>
          <t>Done</t>
        </is>
      </c>
      <c r="F17" s="20" t="inlineStr">
        <is>
          <t>Jul 17</t>
        </is>
      </c>
      <c r="G17" s="20" t="inlineStr">
        <is>
          <t>Jul 17</t>
        </is>
      </c>
      <c r="H17" s="19" t="inlineStr">
        <is>
          <t>titan_scheduling_demo.c: static / dynamic (CPI) / power-aware phases build &amp; run (D-39)</t>
        </is>
      </c>
    </row>
    <row r="18">
      <c r="A18" s="26" t="inlineStr">
        <is>
          <t>Phase 3</t>
        </is>
      </c>
      <c r="B18" s="19" t="inlineStr">
        <is>
          <t>flow-runner drives first synthesis</t>
        </is>
      </c>
      <c r="C18" s="20" t="inlineStr">
        <is>
          <t>trabdelbasset</t>
        </is>
      </c>
      <c r="D18" s="20" t="inlineStr">
        <is>
          <t>W29</t>
        </is>
      </c>
      <c r="E18" s="20" t="inlineStr">
        <is>
          <t>In Progress</t>
        </is>
      </c>
      <c r="F18" s="20" t="inlineStr">
        <is>
          <t>Jul 17</t>
        </is>
      </c>
      <c r="G18" s="20" t="inlineStr">
        <is>
          <t>Jul 17</t>
        </is>
      </c>
      <c r="H18" s="19" t="inlineStr">
        <is>
          <t>flow-runner skill done (11 flows, log parsing); first real synthesis run still pending PDK setup</t>
        </is>
      </c>
    </row>
    <row r="19">
      <c r="A19" s="27" t="inlineStr">
        <is>
          <t>Phase 4</t>
        </is>
      </c>
      <c r="B19" s="19" t="inlineStr">
        <is>
          <t>Full Librelane flow to GDSII</t>
        </is>
      </c>
      <c r="C19" s="20" t="inlineStr">
        <is>
          <t>yacine-hk</t>
        </is>
      </c>
      <c r="D19" s="20" t="inlineStr">
        <is>
          <t>W30</t>
        </is>
      </c>
      <c r="E19" s="20" t="inlineStr">
        <is>
          <t>In Progress</t>
        </is>
      </c>
      <c r="F19" s="20" t="inlineStr">
        <is>
          <t>Jul 24</t>
        </is>
      </c>
      <c r="G19" s="20" t="inlineStr">
        <is>
          <t>Jul 30</t>
        </is>
      </c>
      <c r="H19" s="19" t="inlineStr">
        <is>
          <t>LibreLane flow wired (configs, PDN, SDC); blockers: mosaic_soc_core.sv pin-binding (P-01), SRAM macros (P-03)</t>
        </is>
      </c>
    </row>
    <row r="20">
      <c r="A20" s="27" t="inlineStr">
        <is>
          <t>Phase 4</t>
        </is>
      </c>
      <c r="B20" s="19" t="inlineStr">
        <is>
          <t>First DRC-clean GDSII + STA @ 50MHz</t>
        </is>
      </c>
      <c r="C20" s="20" t="inlineStr">
        <is>
          <t>yacine-hk</t>
        </is>
      </c>
      <c r="D20" s="20" t="inlineStr">
        <is>
          <t>W31</t>
        </is>
      </c>
      <c r="E20" s="20" t="inlineStr">
        <is>
          <t>Not Started</t>
        </is>
      </c>
      <c r="F20" s="20" t="inlineStr">
        <is>
          <t>Jul 31</t>
        </is>
      </c>
      <c r="G20" s="20" t="inlineStr">
        <is>
          <t>Jul 31</t>
        </is>
      </c>
      <c r="H20" s="19" t="inlineStr">
        <is>
          <t>Needs P-01..P-03 + GF180 PDK first</t>
        </is>
      </c>
    </row>
    <row r="21">
      <c r="A21" s="27" t="inlineStr">
        <is>
          <t>Phase 4</t>
        </is>
      </c>
      <c r="B21" s="19" t="inlineStr">
        <is>
          <t>Padframe (22 pins, ¼ block) + ESD ring</t>
        </is>
      </c>
      <c r="C21" s="20" t="inlineStr">
        <is>
          <t>yacine-hk</t>
        </is>
      </c>
      <c r="D21" s="20" t="inlineStr">
        <is>
          <t>W32</t>
        </is>
      </c>
      <c r="E21" s="20" t="inlineStr">
        <is>
          <t>In Progress</t>
        </is>
      </c>
      <c r="F21" s="20" t="inlineStr">
        <is>
          <t>Aug 7</t>
        </is>
      </c>
      <c r="G21" s="20" t="inlineStr">
        <is>
          <t>Aug 13</t>
        </is>
      </c>
      <c r="H21" s="19" t="inlineStr">
        <is>
          <t>GF180 pad frame chip_top.sv elaborates clean (D-31); pad map slot_mosaic.yaml completion open (P-02)</t>
        </is>
      </c>
    </row>
    <row r="22">
      <c r="A22" s="27" t="inlineStr">
        <is>
          <t>Phase 4</t>
        </is>
      </c>
      <c r="B22" s="19" t="inlineStr">
        <is>
          <t>drc-triage skill live + log metrics</t>
        </is>
      </c>
      <c r="C22" s="20" t="inlineStr">
        <is>
          <t>trabdelbasset</t>
        </is>
      </c>
      <c r="D22" s="20" t="inlineStr">
        <is>
          <t>W33</t>
        </is>
      </c>
      <c r="E22" s="20" t="inlineStr">
        <is>
          <t>In Progress</t>
        </is>
      </c>
      <c r="F22" s="20" t="inlineStr">
        <is>
          <t>Aug 14</t>
        </is>
      </c>
      <c r="G22" s="20" t="inlineStr">
        <is>
          <t>Aug 20</t>
        </is>
      </c>
      <c r="H22" s="19" t="inlineStr">
        <is>
          <t>drc-triage skill implemented + tested (Magic/KLayout/Netgen parsers, D-43); awaiting real DRC runs for metrics</t>
        </is>
      </c>
    </row>
    <row r="23">
      <c r="A23" s="27" t="inlineStr">
        <is>
          <t>Phase 4</t>
        </is>
      </c>
      <c r="B23" s="19" t="inlineStr">
        <is>
          <t>Top-level DRC + LVS clean</t>
        </is>
      </c>
      <c r="C23" s="20" t="inlineStr">
        <is>
          <t>yacine-hk</t>
        </is>
      </c>
      <c r="D23" s="20" t="inlineStr">
        <is>
          <t>W34</t>
        </is>
      </c>
      <c r="E23" s="20" t="inlineStr">
        <is>
          <t>Not Started</t>
        </is>
      </c>
      <c r="F23" s="20" t="inlineStr">
        <is>
          <t>Aug 21</t>
        </is>
      </c>
      <c r="G23" s="20" t="inlineStr">
        <is>
          <t>Aug 21</t>
        </is>
      </c>
      <c r="H23" s="19" t="inlineStr">
        <is>
          <t>Layout Review top (M6)</t>
        </is>
      </c>
    </row>
    <row r="24">
      <c r="A24" s="27" t="inlineStr">
        <is>
          <t>Phase 4</t>
        </is>
      </c>
      <c r="B24" s="19" t="inlineStr">
        <is>
          <t>doc-gen: memory-map + run report</t>
        </is>
      </c>
      <c r="C24" s="20" t="inlineStr">
        <is>
          <t>yacine-hk</t>
        </is>
      </c>
      <c r="D24" s="20" t="inlineStr">
        <is>
          <t>W34</t>
        </is>
      </c>
      <c r="E24" s="20" t="inlineStr">
        <is>
          <t>Done</t>
        </is>
      </c>
      <c r="F24" s="20" t="inlineStr">
        <is>
          <t>Aug 21</t>
        </is>
      </c>
      <c r="G24" s="20" t="inlineStr">
        <is>
          <t>Aug 21</t>
        </is>
      </c>
      <c r="H24" s="19" t="inlineStr">
        <is>
          <t>doc-gen skill: config summary, memory map, run reports, dashboard parse (D-44)</t>
        </is>
      </c>
    </row>
    <row r="25">
      <c r="A25" s="27" t="inlineStr">
        <is>
          <t>Phase 4</t>
        </is>
      </c>
      <c r="B25" s="19" t="inlineStr">
        <is>
          <t>FINAL DRC-clean GDSII + metrics + repro pkg</t>
        </is>
      </c>
      <c r="C25" s="20" t="inlineStr">
        <is>
          <t>All</t>
        </is>
      </c>
      <c r="D25" s="20" t="inlineStr">
        <is>
          <t>W35</t>
        </is>
      </c>
      <c r="E25" s="20" t="inlineStr">
        <is>
          <t>Not Started</t>
        </is>
      </c>
      <c r="F25" s="20" t="inlineStr">
        <is>
          <t>Aug 28</t>
        </is>
      </c>
      <c r="G25" s="20" t="inlineStr">
        <is>
          <t>Aug 28</t>
        </is>
      </c>
      <c r="H25" s="19" t="inlineStr">
        <is>
          <t>FINAL submission (M7)</t>
        </is>
      </c>
    </row>
    <row r="26">
      <c r="A26" s="28" t="inlineStr">
        <is>
          <t>Phase 5</t>
        </is>
      </c>
      <c r="B26" s="19" t="inlineStr">
        <is>
          <t>Write bring-up test plan</t>
        </is>
      </c>
      <c r="C26" s="20" t="inlineStr">
        <is>
          <t>yacine-hk</t>
        </is>
      </c>
      <c r="D26" s="20" t="inlineStr">
        <is>
          <t>W35</t>
        </is>
      </c>
      <c r="E26" s="20" t="inlineStr">
        <is>
          <t>Not Started</t>
        </is>
      </c>
      <c r="F26" s="20" t="inlineStr">
        <is>
          <t>Aug 28</t>
        </is>
      </c>
      <c r="G26" s="20" t="inlineStr">
        <is>
          <t>Aug 31</t>
        </is>
      </c>
      <c r="H26" s="19" t="inlineStr">
        <is>
          <t>UART loopback, sensor smoke, sched toggle</t>
        </is>
      </c>
    </row>
    <row r="27">
      <c r="A27" s="28" t="inlineStr">
        <is>
          <t>Phase 5</t>
        </is>
      </c>
      <c r="B27" s="19" t="inlineStr">
        <is>
          <t>Archive reproducibility container</t>
        </is>
      </c>
      <c r="C27" s="20" t="inlineStr">
        <is>
          <t>trabdelbasset</t>
        </is>
      </c>
      <c r="D27" s="20" t="inlineStr">
        <is>
          <t>TBD</t>
        </is>
      </c>
      <c r="E27" s="20" t="inlineStr">
        <is>
          <t>Not Started</t>
        </is>
      </c>
      <c r="F27" s="20" t="n"/>
      <c r="G27" s="20" t="n"/>
      <c r="H27" s="19" t="inlineStr">
        <is>
          <t>Await organiser fab dates</t>
        </is>
      </c>
    </row>
    <row r="28">
      <c r="A28" s="26" t="inlineStr">
        <is>
          <t>Phase 3</t>
        </is>
      </c>
      <c r="B28" s="19" t="inlineStr">
        <is>
          <t>Multi-fabric system bus: bus: obi | log (2-tier LIC) | floonoc (AXI NoC + OBI bridges)</t>
        </is>
      </c>
      <c r="C28" s="20" t="inlineStr">
        <is>
          <t>MILOUDIAS</t>
        </is>
      </c>
      <c r="D28" s="20" t="inlineStr">
        <is>
          <t>W27</t>
        </is>
      </c>
      <c r="E28" s="20" t="inlineStr">
        <is>
          <t>Done</t>
        </is>
      </c>
      <c r="F28" s="20" t="inlineStr">
        <is>
          <t>Jul 5</t>
        </is>
      </c>
      <c r="G28" s="20" t="inlineStr">
        <is>
          <t>Jul 9</t>
        </is>
      </c>
      <c r="H28" s="19" t="inlineStr">
        <is>
          <t>D-54..57: tb/log_xbar 5/5, bridge+NoC cocotb, wake demo EXIT SUCCESS ×3 fabrics</t>
        </is>
      </c>
    </row>
    <row r="29">
      <c r="A29" s="26" t="inlineStr">
        <is>
          <t>Phase 3</t>
        </is>
      </c>
      <c r="B29" s="19" t="inlineStr">
        <is>
          <t>iDMA integration (reg frontend + ND midend + OBI backend)</t>
        </is>
      </c>
      <c r="C29" s="20" t="inlineStr">
        <is>
          <t>MILOUDIAS</t>
        </is>
      </c>
      <c r="D29" s="20" t="inlineStr">
        <is>
          <t>W26</t>
        </is>
      </c>
      <c r="E29" s="20" t="inlineStr">
        <is>
          <t>Done</t>
        </is>
      </c>
      <c r="F29" s="20" t="inlineStr">
        <is>
          <t>Jun 29</t>
        </is>
      </c>
      <c r="G29" s="20" t="inlineStr">
        <is>
          <t>Jun 30</t>
        </is>
      </c>
      <c r="H29" s="19" t="inlineStr">
        <is>
          <t>D-16: rewritten idma_xheep_wrapper; cocotb PASS at block + SoC level</t>
        </is>
      </c>
    </row>
    <row r="30">
      <c r="A30" s="26" t="inlineStr">
        <is>
          <t>Phase 3</t>
        </is>
      </c>
      <c r="B30" s="19" t="inlineStr">
        <is>
          <t>TDU wake→core loop + worker dormancy (per-hart fetch-enable gating)</t>
        </is>
      </c>
      <c r="C30" s="20" t="inlineStr">
        <is>
          <t>MILOUDIAS</t>
        </is>
      </c>
      <c r="D30" s="20" t="inlineStr">
        <is>
          <t>W26</t>
        </is>
      </c>
      <c r="E30" s="20" t="inlineStr">
        <is>
          <t>Done</t>
        </is>
      </c>
      <c r="F30" s="20" t="inlineStr">
        <is>
          <t>Jun 29</t>
        </is>
      </c>
      <c r="G30" s="20" t="inlineStr">
        <is>
          <t>Jun 30</t>
        </is>
      </c>
      <c r="H30" s="19" t="inlineStr">
        <is>
          <t>D-17: cocotb end-to-end — no-wake parked / selective wake / all run</t>
        </is>
      </c>
    </row>
    <row r="31">
      <c r="A31" s="26" t="inlineStr">
        <is>
          <t>Phase 3</t>
        </is>
      </c>
      <c r="B31" s="19" t="inlineStr">
        <is>
          <t>Production C firmware (TDU driver + TITAN orchestrator + ASM workers) on 7-hart PoC</t>
        </is>
      </c>
      <c r="C31" s="20" t="inlineStr">
        <is>
          <t>MILOUDIAS</t>
        </is>
      </c>
      <c r="D31" s="20" t="inlineStr">
        <is>
          <t>W28</t>
        </is>
      </c>
      <c r="E31" s="20" t="inlineStr">
        <is>
          <t>Done</t>
        </is>
      </c>
      <c r="F31" s="20" t="inlineStr">
        <is>
          <t>Jul 8</t>
        </is>
      </c>
      <c r="G31" s="20" t="inlineStr">
        <is>
          <t>Jul 9</t>
        </is>
      </c>
      <c r="H31" s="19" t="inlineStr">
        <is>
          <t>D-60: EXIT SUCCESS — 6 workers pop unique descriptors, per-slot sentinels + results verified</t>
        </is>
      </c>
    </row>
    <row r="32">
      <c r="A32" s="26" t="inlineStr">
        <is>
          <t>Phase 3</t>
        </is>
      </c>
      <c r="B32" s="19" t="inlineStr">
        <is>
          <t>cv32e40x integration + all-TITAN 4-core SMP demo (2×cv32e20 + 2×cv32e40x)</t>
        </is>
      </c>
      <c r="C32" s="20" t="inlineStr">
        <is>
          <t>MILOUDIAS</t>
        </is>
      </c>
      <c r="D32" s="20" t="inlineStr">
        <is>
          <t>W28</t>
        </is>
      </c>
      <c r="E32" s="20" t="inlineStr">
        <is>
          <t>Done</t>
        </is>
      </c>
      <c r="F32" s="20" t="inlineStr">
        <is>
          <t>Jul 10</t>
        </is>
      </c>
      <c r="G32" s="20" t="inlineStr">
        <is>
          <t>Jul 10</t>
        </is>
      </c>
      <c r="H32" s="19" t="inlineStr">
        <is>
          <t>D-61/62: EXIT SUCCESS on obi/log/floonoc (17/8/58 µs); core bumped to post-0.10, XIF compat shim</t>
        </is>
      </c>
    </row>
    <row r="33">
      <c r="A33" s="26" t="inlineStr">
        <is>
          <t>Phase 3</t>
        </is>
      </c>
      <c r="B33" s="19" t="inlineStr">
        <is>
          <t>Debug: Verilator nightly DFG miscompile of cv32e40x hazard halt (bug 21)</t>
        </is>
      </c>
      <c r="C33" s="20" t="inlineStr">
        <is>
          <t>MILOUDIAS</t>
        </is>
      </c>
      <c r="D33" s="20" t="inlineStr">
        <is>
          <t>W28</t>
        </is>
      </c>
      <c r="E33" s="20" t="inlineStr">
        <is>
          <t>Done</t>
        </is>
      </c>
      <c r="F33" s="20" t="inlineStr">
        <is>
          <t>Jul 10</t>
        </is>
      </c>
      <c r="G33" s="20" t="inlineStr">
        <is>
          <t>Jul 10</t>
        </is>
      </c>
      <c r="H33" s="19" t="inlineStr">
        <is>
          <t>RTL exonerated (-O0 + -fno-dfg discriminators); pinned Verilator 5.050 in all run scripts</t>
        </is>
      </c>
    </row>
    <row r="34">
      <c r="A34" s="26" t="inlineStr">
        <is>
          <t>Phase 2</t>
        </is>
      </c>
      <c r="B34" s="19" t="inlineStr">
        <is>
          <t>oh-my-soc harness: core + flow-runner/drc-triage/doc-gen/topo-viz skills + CLI</t>
        </is>
      </c>
      <c r="C34" s="20" t="inlineStr">
        <is>
          <t>trabdelbasset</t>
        </is>
      </c>
      <c r="D34" s="20" t="inlineStr">
        <is>
          <t>W26</t>
        </is>
      </c>
      <c r="E34" s="20" t="inlineStr">
        <is>
          <t>Done</t>
        </is>
      </c>
      <c r="F34" s="20" t="inlineStr">
        <is>
          <t>Jun 30</t>
        </is>
      </c>
      <c r="G34" s="20" t="inlineStr">
        <is>
          <t>Jul 9</t>
        </is>
      </c>
      <c r="H34" s="19" t="inlineStr">
        <is>
          <t>D-40..45, D-58: 5 skills; python -m harness &lt;skill&gt; &lt;cmd&gt;; pytest green</t>
        </is>
      </c>
    </row>
    <row r="35">
      <c r="A35" s="26" t="inlineStr">
        <is>
          <t>Phase 3</t>
        </is>
      </c>
      <c r="B35" s="19" t="inlineStr">
        <is>
          <t>Full regression suite (18 steps: TDU unit/SoC, LIC, iDMA, NoC, SCI, wake ×3 fabrics, new-core demos ×4, all-TITAN ×3, prod fw, pytest)</t>
        </is>
      </c>
      <c r="C35" s="20" t="inlineStr">
        <is>
          <t>MILOUDIAS</t>
        </is>
      </c>
      <c r="D35" s="20" t="inlineStr">
        <is>
          <t>W28</t>
        </is>
      </c>
      <c r="E35" s="20" t="inlineStr">
        <is>
          <t>Done</t>
        </is>
      </c>
      <c r="F35" s="20" t="inlineStr">
        <is>
          <t>Jul 10</t>
        </is>
      </c>
      <c r="G35" s="20" t="inlineStr">
        <is>
          <t>Jul 11</t>
        </is>
      </c>
      <c r="H35" s="19" t="inlineStr">
        <is>
          <t>Sweep 2026-07-11: ALL PASS (18/18) under pinned Verilator 5.050</t>
        </is>
      </c>
    </row>
    <row r="36">
      <c r="A36" s="26" t="inlineStr">
        <is>
          <t>Phase 3</t>
        </is>
      </c>
      <c r="B36" s="19" t="inlineStr">
        <is>
          <t>PicoRV32 integration (YosysHQ f00a88c vendor + picorv32_sci native-mem→OBI wrapper)</t>
        </is>
      </c>
      <c r="C36" s="20" t="inlineStr">
        <is>
          <t>MILOUDIAS</t>
        </is>
      </c>
      <c r="D36" s="20" t="inlineStr">
        <is>
          <t>W28</t>
        </is>
      </c>
      <c r="E36" s="20" t="inlineStr">
        <is>
          <t>Done</t>
        </is>
      </c>
      <c r="F36" s="20" t="inlineStr">
        <is>
          <t>Jul 11</t>
        </is>
      </c>
      <c r="G36" s="20" t="inlineStr">
        <is>
          <t>Jul 11</t>
        </is>
      </c>
      <c r="H36" s="19" t="inlineStr">
        <is>
          <t>D-63: mosaic_picorv32.yaml wake demo EXIT SUCCESS (2 picorv32 workers); passed first run</t>
        </is>
      </c>
    </row>
    <row r="37">
      <c r="A37" s="26" t="inlineStr">
        <is>
          <t>Phase 3</t>
        </is>
      </c>
      <c r="B37" s="19" t="inlineStr">
        <is>
          <t>Snitch bare-core integration (mempool vendor + snitch_sci reqrsp→split-OBI wrapper)</t>
        </is>
      </c>
      <c r="C37" s="20" t="inlineStr">
        <is>
          <t>MILOUDIAS</t>
        </is>
      </c>
      <c r="D37" s="20" t="inlineStr">
        <is>
          <t>W28</t>
        </is>
      </c>
      <c r="E37" s="20" t="inlineStr">
        <is>
          <t>Done</t>
        </is>
      </c>
      <c r="F37" s="20" t="inlineStr">
        <is>
          <t>Jul 11</t>
        </is>
      </c>
      <c r="G37" s="20" t="inlineStr">
        <is>
          <t>Jul 11</t>
        </is>
      </c>
      <c r="H37" s="19" t="inlineStr">
        <is>
          <t>D-64: mosaic_snitch.yaml wake demo EXIT SUCCESS; 3 documented vendored-file divergences (X-poison ifdefs, fork fpnew blobs)</t>
        </is>
      </c>
    </row>
    <row r="38">
      <c r="A38" s="26" t="inlineStr">
        <is>
          <t>Phase 3</t>
        </is>
      </c>
      <c r="B38" s="19" t="inlineStr">
        <is>
          <t>CVA6 32-bit SIM-ONLY integration (MOSAIC config pkg: uncached D-side/WT cache/CVXIF off + burst 64→32 AXI→OBI bridge + cva6_sci)</t>
        </is>
      </c>
      <c r="C38" s="20" t="inlineStr">
        <is>
          <t>MILOUDIAS</t>
        </is>
      </c>
      <c r="D38" s="20" t="inlineStr">
        <is>
          <t>W28</t>
        </is>
      </c>
      <c r="E38" s="20" t="inlineStr">
        <is>
          <t>Done</t>
        </is>
      </c>
      <c r="F38" s="20" t="inlineStr">
        <is>
          <t>Jul 11</t>
        </is>
      </c>
      <c r="G38" s="20" t="inlineStr">
        <is>
          <t>Jul 11</t>
        </is>
      </c>
      <c r="H38" s="19" t="inlineStr">
        <is>
          <t>D-65: mosaic_cva6.yaml EXIT SUCCESS (cva6 TITAN orchestrates TDU); 1-patch bring-up; GF180 tapeout exclusion stands</t>
        </is>
      </c>
    </row>
    <row r="39">
      <c r="A39" s="26" t="inlineStr">
        <is>
          <t>Phase 3</t>
        </is>
      </c>
      <c r="B39" s="19" t="inlineStr">
        <is>
          <t>Combined new-cores demo: cva6 TITAN + snitch ATLAS + picorv32 NANO in one SoC</t>
        </is>
      </c>
      <c r="C39" s="20" t="inlineStr">
        <is>
          <t>MILOUDIAS</t>
        </is>
      </c>
      <c r="D39" s="20" t="inlineStr">
        <is>
          <t>W28</t>
        </is>
      </c>
      <c r="E39" s="20" t="inlineStr">
        <is>
          <t>Done</t>
        </is>
      </c>
      <c r="F39" s="20" t="inlineStr">
        <is>
          <t>Jul 11</t>
        </is>
      </c>
      <c r="G39" s="20" t="inlineStr">
        <is>
          <t>Jul 11</t>
        </is>
      </c>
      <c r="H39" s="19" t="inlineStr">
        <is>
          <t>D-66: mosaic_new_cores.yaml EXIT SUCCESS — CVA6 wakes both workers via the TDU, per-slot sentinels verified</t>
        </is>
      </c>
    </row>
    <row r="40">
      <c r="A40" s="26" t="inlineStr">
        <is>
          <t>Phase 3</t>
        </is>
      </c>
      <c r="B40" s="19" t="inlineStr">
        <is>
          <t>test_new_cores.py pytest suite (registry/SCI/config parsing for the 3 new cores)</t>
        </is>
      </c>
      <c r="C40" s="20" t="inlineStr">
        <is>
          <t>MILOUDIAS</t>
        </is>
      </c>
      <c r="D40" s="20" t="inlineStr">
        <is>
          <t>W28</t>
        </is>
      </c>
      <c r="E40" s="20" t="inlineStr">
        <is>
          <t>Done</t>
        </is>
      </c>
      <c r="F40" s="20" t="inlineStr">
        <is>
          <t>Jul 11</t>
        </is>
      </c>
      <c r="G40" s="20" t="inlineStr">
        <is>
          <t>Jul 11</t>
        </is>
      </c>
      <c r="H40" s="19" t="inlineStr">
        <is>
          <t>11/11 pass; total generator pytests now 26</t>
        </is>
      </c>
    </row>
    <row r="41">
      <c r="A41" s="26" t="inlineStr">
        <is>
          <t>Phase 3</t>
        </is>
      </c>
      <c r="B41" s="19" t="inlineStr">
        <is>
          <t>Selectable platform blocks: soc.dma/debug/plic/spi_mode/multicore_timer/gpio_ao/ao_rv_timer/ao_fast_intr</t>
        </is>
      </c>
      <c r="C41" s="20" t="inlineStr">
        <is>
          <t>MILOUDIAS</t>
        </is>
      </c>
      <c r="D41" s="20" t="inlineStr">
        <is>
          <t>W31</t>
        </is>
      </c>
      <c r="E41" s="20" t="inlineStr">
        <is>
          <t>Done</t>
        </is>
      </c>
      <c r="F41" s="20" t="inlineStr">
        <is>
          <t>Jul 29</t>
        </is>
      </c>
      <c r="G41" s="20" t="inlineStr">
        <is>
          <t>Jul 31</t>
        </is>
      </c>
      <c r="H41" s="19" t="inlineStr">
        <is>
          <t>8 new schema knobs + template gates &amp; tie-offs; 71 tests in test_dma_selection.py; suite 636 green</t>
        </is>
      </c>
    </row>
    <row r="42">
      <c r="A42" s="26" t="inlineStr">
        <is>
          <t>Phase 3</t>
        </is>
      </c>
      <c r="B42" s="19" t="inlineStr">
        <is>
          <t>GF180 area study: measured reduction 3.903 -&gt; 1.249 mm2 (-68%)</t>
        </is>
      </c>
      <c r="C42" s="20" t="inlineStr">
        <is>
          <t>MILOUDIAS</t>
        </is>
      </c>
      <c r="D42" s="20" t="inlineStr">
        <is>
          <t>W31</t>
        </is>
      </c>
      <c r="E42" s="20" t="inlineStr">
        <is>
          <t>Done</t>
        </is>
      </c>
      <c r="F42" s="20" t="inlineStr">
        <is>
          <t>Jul 29</t>
        </is>
      </c>
      <c r="G42" s="20" t="inlineStr">
        <is>
          <t>Jul 31</t>
        </is>
      </c>
      <c r="H42" s="19" t="inlineStr">
        <is>
          <t>docs/area_study_gf180_min_soc.md 8c-8g; every step measured (yosys 0.62+slang, tt/25C/5v00)</t>
        </is>
      </c>
    </row>
    <row r="43">
      <c r="A43" s="26" t="inlineStr">
        <is>
          <t>Phase 3</t>
        </is>
      </c>
      <c r="B43" s="19" t="inlineStr">
        <is>
          <t>Chipathon MPW Block A: 22-pin macro, routed GDS in 1117.5um slot</t>
        </is>
      </c>
      <c r="C43" s="20" t="inlineStr">
        <is>
          <t>MILOUDIAS</t>
        </is>
      </c>
      <c r="D43" s="20" t="inlineStr">
        <is>
          <t>W31</t>
        </is>
      </c>
      <c r="E43" s="20" t="inlineStr">
        <is>
          <t>Done</t>
        </is>
      </c>
      <c r="F43" s="20" t="inlineStr">
        <is>
          <t>Jul 30</t>
        </is>
      </c>
      <c r="G43" s="20" t="inlineStr">
        <is>
          <t>Jul 31</t>
        </is>
      </c>
      <c r="H43" s="19" t="inlineStr">
        <is>
          <t>mosaic_block_a.sv; die 1117.5x1117.5um=1.2488mm2; 0 routing DRC, 0 antenna; setup +20.67ns hold +0.075ns</t>
        </is>
      </c>
    </row>
    <row r="44">
      <c r="A44" s="26" t="inlineStr">
        <is>
          <t>Phase 3</t>
        </is>
      </c>
      <c r="B44" s="19" t="inlineStr">
        <is>
          <t>GF180 library findings: no latch cell, unattributed SRAM blackboxes, unmapped tristates</t>
        </is>
      </c>
      <c r="C44" s="20" t="inlineStr">
        <is>
          <t>MILOUDIAS</t>
        </is>
      </c>
      <c r="D44" s="20" t="inlineStr">
        <is>
          <t>W31</t>
        </is>
      </c>
      <c r="E44" s="20" t="inlineStr">
        <is>
          <t>Done</t>
        </is>
      </c>
      <c r="F44" s="20" t="inlineStr">
        <is>
          <t>Jul 30</t>
        </is>
      </c>
      <c r="G44" s="20" t="inlineStr">
        <is>
          <t>Jul 31</t>
        </is>
      </c>
      <c r="H44" s="19" t="inlineStr">
        <is>
          <t>hw/asic/gf180/{tc_clk,gf180_sram_blackbox,sram_wrapper}.sv - icgtp_1 ICG bind, (* blackbox *), bufz_4</t>
        </is>
      </c>
    </row>
    <row r="45">
      <c r="A45" s="26" t="inlineStr">
        <is>
          <t>Phase 3</t>
        </is>
      </c>
      <c r="B45" s="19" t="inlineStr">
        <is>
          <t>PDN core ring on Metal2/3 conflicts with router layer range</t>
        </is>
      </c>
      <c r="C45" s="20" t="inlineStr">
        <is>
          <t>MILOUDIAS</t>
        </is>
      </c>
      <c r="D45" s="20" t="inlineStr">
        <is>
          <t>W31</t>
        </is>
      </c>
      <c r="E45" s="20" t="inlineStr">
        <is>
          <t>Done</t>
        </is>
      </c>
      <c r="F45" s="20" t="inlineStr">
        <is>
          <t>Jul 30</t>
        </is>
      </c>
      <c r="G45" s="20" t="inlineStr">
        <is>
          <t>Jul 30</t>
        </is>
      </c>
      <c r="H45" s="19" t="inlineStr">
        <is>
          <t>All detailed-routing violations were signal-to-VDD shorts on Metal3 along the ring; ring removed</t>
        </is>
      </c>
    </row>
    <row r="46">
      <c r="A46" s="26" t="inlineStr">
        <is>
          <t>Phase 3</t>
        </is>
      </c>
      <c r="B46" s="19" t="inlineStr">
        <is>
          <t>DRC + LVS signoff on Block A GDS</t>
        </is>
      </c>
      <c r="C46" s="20" t="inlineStr">
        <is>
          <t>MILOUDIAS</t>
        </is>
      </c>
      <c r="D46" s="20" t="inlineStr">
        <is>
          <t>W31</t>
        </is>
      </c>
      <c r="E46" s="20" t="inlineStr">
        <is>
          <t>Not Started</t>
        </is>
      </c>
      <c r="F46" s="20" t="inlineStr">
        <is>
          <t>Aug 1</t>
        </is>
      </c>
      <c r="G46" s="20" t="inlineStr">
        <is>
          <t>Aug 21</t>
        </is>
      </c>
      <c r="H46" s="19" t="inlineStr">
        <is>
          <t>BLOCKER for submission. Magic/KLayout DRC + Netgen LVS never run on this GDS; status UNKNOWN not clean</t>
        </is>
      </c>
    </row>
    <row r="47">
      <c r="A47" s="26" t="inlineStr">
        <is>
          <t>Phase 3</t>
        </is>
      </c>
      <c r="B47" s="19" t="inlineStr">
        <is>
          <t>Block A power delivery (PSM-0069) unresolved</t>
        </is>
      </c>
      <c r="C47" s="20" t="inlineStr">
        <is>
          <t>MILOUDIAS</t>
        </is>
      </c>
      <c r="D47" s="20" t="inlineStr">
        <is>
          <t>W31</t>
        </is>
      </c>
      <c r="E47" s="20" t="inlineStr">
        <is>
          <t>Not Started</t>
        </is>
      </c>
      <c r="F47" s="20" t="inlineStr">
        <is>
          <t>Aug 1</t>
        </is>
      </c>
      <c r="G47" s="20" t="inlineStr">
        <is>
          <t>Aug 21</t>
        </is>
      </c>
      <c r="H47" s="19" t="inlineStr">
        <is>
          <t>PDN_CORE_RING:false leaves PSM without a power source; IR drop unanalysed</t>
        </is>
      </c>
    </row>
    <row r="48">
      <c r="A48" s="26" t="inlineStr">
        <is>
          <t>Phase 3</t>
        </is>
      </c>
      <c r="B48" s="19" t="inlineStr">
        <is>
          <t>Confirm Block A pin contract with MPW integrator</t>
        </is>
      </c>
      <c r="C48" s="20" t="inlineStr">
        <is>
          <t>MILOUDIAS</t>
        </is>
      </c>
      <c r="D48" s="20" t="inlineStr">
        <is>
          <t>W31</t>
        </is>
      </c>
      <c r="E48" s="20" t="inlineStr">
        <is>
          <t>Not Started</t>
        </is>
      </c>
      <c r="F48" s="20" t="inlineStr">
        <is>
          <t>Aug 1</t>
        </is>
      </c>
      <c r="G48" s="20" t="inlineStr">
        <is>
          <t>Aug 7</t>
        </is>
      </c>
      <c r="H48" s="19" t="inlineStr">
        <is>
          <t>22 pins; bufz_4 QSPI drive is a placeholder; status_o[6:0] must be bonded (only observability, debug:false)</t>
        </is>
      </c>
    </row>
  </sheetData>
  <autoFilter ref="A3:H27"/>
  <mergeCells count="2">
    <mergeCell ref="A2:H2"/>
    <mergeCell ref="A1:H1"/>
  </mergeCells>
  <printOptions headings="0" gridLines="0"/>
  <pageMargins left="0.3" right="0.3" top="0.4000000000000001" bottom="0.4000000000000001" header="0.5118110236220469" footer="0.5118110236220469"/>
  <pageSetup orientation="landscape" paperSize="1" scale="100" fitToHeight="0" fitToWidth="1" useFirstPageNumber="0" pageOrder="downThenOver" usePrinterDefaults="1" blackAndWhite="0" draft="0" errors="displayed" horizontalDpi="300" verticalDpi="300" copies="1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F21"/>
  <sheetViews>
    <sheetView showGridLines="0" zoomScale="100" workbookViewId="0">
      <pane ySplit="3" topLeftCell="A4" activePane="bottomLeft" state="frozen"/>
      <selection activeCell="A1" activeCellId="0" sqref="A1:F1"/>
    </sheetView>
  </sheetViews>
  <sheetFormatPr baseColWidth="8" defaultColWidth="8.68333333333333" defaultRowHeight="15"/>
  <cols>
    <col width="8" customWidth="1" min="1" max="1"/>
    <col width="10" customWidth="1" min="2" max="2"/>
    <col width="34" customWidth="1" min="3" max="3"/>
    <col width="26" customWidth="1" min="4" max="4"/>
    <col width="40" customWidth="1" min="5" max="5"/>
    <col width="14" customWidth="1" min="6" max="6"/>
  </cols>
  <sheetData>
    <row r="1" ht="25.5" customHeight="1">
      <c r="A1" s="1" t="inlineStr">
        <is>
          <t>Official Chipathon 2026 Schedule (with our Track D mapping)</t>
        </is>
      </c>
    </row>
    <row r="2" ht="15.75" customHeight="1">
      <c r="A2" s="2" t="inlineStr">
        <is>
          <t>Source: github.com/sscs-ose/sscs-chipathon-2026/schedule · all dates subject to change · weekly report due each Wednesday</t>
        </is>
      </c>
    </row>
    <row r="3" ht="24" customHeight="1">
      <c r="A3" s="17" t="inlineStr">
        <is>
          <t>Week</t>
        </is>
      </c>
      <c r="B3" s="17" t="inlineStr">
        <is>
          <t>Date</t>
        </is>
      </c>
      <c r="C3" s="17" t="inlineStr">
        <is>
          <t>Official Event</t>
        </is>
      </c>
      <c r="D3" s="17" t="inlineStr">
        <is>
          <t>Phase</t>
        </is>
      </c>
      <c r="E3" s="17" t="inlineStr">
        <is>
          <t>Our Track D Equivalent / Action</t>
        </is>
      </c>
      <c r="F3" s="17" t="inlineStr">
        <is>
          <t>Our Milestone</t>
        </is>
      </c>
    </row>
    <row r="4">
      <c r="A4" s="20" t="inlineStr">
        <is>
          <t>W19</t>
        </is>
      </c>
      <c r="B4" s="20" t="inlineStr">
        <is>
          <t>May 8</t>
        </is>
      </c>
      <c r="C4" s="19" t="inlineStr">
        <is>
          <t>Kick-off Meeting</t>
        </is>
      </c>
      <c r="D4" s="29" t="inlineStr">
        <is>
          <t>1 Setup</t>
        </is>
      </c>
      <c r="E4" s="19" t="inlineStr">
        <is>
          <t>(pre-team) intro to phases</t>
        </is>
      </c>
      <c r="F4" s="20" t="inlineStr">
        <is>
          <t>—</t>
        </is>
      </c>
    </row>
    <row r="5">
      <c r="A5" s="20" t="inlineStr">
        <is>
          <t>W20</t>
        </is>
      </c>
      <c r="B5" s="20" t="inlineStr">
        <is>
          <t>May 15</t>
        </is>
      </c>
      <c r="C5" s="19" t="inlineStr">
        <is>
          <t>Tool Installation</t>
        </is>
      </c>
      <c r="D5" s="29" t="inlineStr">
        <is>
          <t>1 Setup</t>
        </is>
      </c>
      <c r="E5" s="19" t="inlineStr">
        <is>
          <t>Librelane / DRC-LVS tutorials</t>
        </is>
      </c>
      <c r="F5" s="20" t="inlineStr">
        <is>
          <t>—</t>
        </is>
      </c>
    </row>
    <row r="6">
      <c r="A6" s="20" t="inlineStr">
        <is>
          <t>W21</t>
        </is>
      </c>
      <c r="B6" s="20" t="inlineStr">
        <is>
          <t>May 22</t>
        </is>
      </c>
      <c r="C6" s="19" t="inlineStr">
        <is>
          <t>Tutorial Sessions</t>
        </is>
      </c>
      <c r="D6" s="29" t="inlineStr">
        <is>
          <t>1 Setup</t>
        </is>
      </c>
      <c r="E6" s="19" t="inlineStr">
        <is>
          <t>MOSbius / gLayout</t>
        </is>
      </c>
      <c r="F6" s="20" t="inlineStr">
        <is>
          <t>—</t>
        </is>
      </c>
    </row>
    <row r="7">
      <c r="A7" s="20" t="inlineStr">
        <is>
          <t>W22</t>
        </is>
      </c>
      <c r="B7" s="20" t="inlineStr">
        <is>
          <t>May 29</t>
        </is>
      </c>
      <c r="C7" s="19" t="inlineStr">
        <is>
          <t>Tutorial Sessions</t>
        </is>
      </c>
      <c r="D7" s="29" t="inlineStr">
        <is>
          <t>1 Setup</t>
        </is>
      </c>
      <c r="E7" s="19" t="inlineStr">
        <is>
          <t>Charlib / ORFS / analog flows</t>
        </is>
      </c>
      <c r="F7" s="20" t="inlineStr">
        <is>
          <t>—</t>
        </is>
      </c>
    </row>
    <row r="8">
      <c r="A8" s="20" t="inlineStr">
        <is>
          <t>W23</t>
        </is>
      </c>
      <c r="B8" s="20" t="inlineStr">
        <is>
          <t>Jun 5</t>
        </is>
      </c>
      <c r="C8" s="19" t="inlineStr">
        <is>
          <t>Team Formation Deadline</t>
        </is>
      </c>
      <c r="D8" s="30" t="inlineStr">
        <is>
          <t>2 Planning</t>
        </is>
      </c>
      <c r="E8" s="19" t="inlineStr">
        <is>
          <t>Chip design with AI/LLM (Mehdi)</t>
        </is>
      </c>
      <c r="F8" s="20" t="inlineStr">
        <is>
          <t>—</t>
        </is>
      </c>
    </row>
    <row r="9">
      <c r="A9" s="31" t="inlineStr">
        <is>
          <t>W24◄</t>
        </is>
      </c>
      <c r="B9" s="31" t="inlineStr">
        <is>
          <t>Jun 12</t>
        </is>
      </c>
      <c r="C9" s="32" t="inlineStr">
        <is>
          <t>Project Proposal Review</t>
        </is>
      </c>
      <c r="D9" s="33" t="inlineStr">
        <is>
          <t>2 Planning</t>
        </is>
      </c>
      <c r="E9" s="32" t="inlineStr">
        <is>
          <t>Pitched proposal; begin build</t>
        </is>
      </c>
      <c r="F9" s="34" t="inlineStr">
        <is>
          <t>M0 ✓</t>
        </is>
      </c>
    </row>
    <row r="10">
      <c r="A10" s="20" t="inlineStr">
        <is>
          <t>W25</t>
        </is>
      </c>
      <c r="B10" s="20" t="inlineStr">
        <is>
          <t>Jun 19</t>
        </is>
      </c>
      <c r="C10" s="19" t="inlineStr">
        <is>
          <t>Advanced Topics</t>
        </is>
      </c>
      <c r="D10" s="30" t="inlineStr">
        <is>
          <t>2 Planning</t>
        </is>
      </c>
      <c r="E10" s="19" t="inlineStr">
        <is>
          <t>Schema v0 + SERV SCI wrapper</t>
        </is>
      </c>
      <c r="F10" s="35" t="inlineStr">
        <is>
          <t>→ M1</t>
        </is>
      </c>
    </row>
    <row r="11">
      <c r="A11" s="20" t="inlineStr">
        <is>
          <t>W26</t>
        </is>
      </c>
      <c r="B11" s="20" t="inlineStr">
        <is>
          <t>Jun 26</t>
        </is>
      </c>
      <c r="C11" s="19" t="inlineStr">
        <is>
          <t>Analog Design Ideas</t>
        </is>
      </c>
      <c r="D11" s="30" t="inlineStr">
        <is>
          <t>2 Planning</t>
        </is>
      </c>
      <c r="E11" s="19" t="inlineStr">
        <is>
          <t>Formal verify wrappers; config-author scaffold</t>
        </is>
      </c>
      <c r="F11" s="35" t="inlineStr">
        <is>
          <t>M1</t>
        </is>
      </c>
    </row>
    <row r="12">
      <c r="A12" s="20" t="inlineStr">
        <is>
          <t>W27</t>
        </is>
      </c>
      <c r="B12" s="20" t="inlineStr">
        <is>
          <t>Jul 3</t>
        </is>
      </c>
      <c r="C12" s="19" t="inlineStr">
        <is>
          <t>Schematic Review</t>
        </is>
      </c>
      <c r="D12" s="36" t="inlineStr">
        <is>
          <t>3 Design/Sim</t>
        </is>
      </c>
      <c r="E12" s="19" t="inlineStr">
        <is>
          <t>RTL elaboration + config schema review</t>
        </is>
      </c>
      <c r="F12" s="35" t="inlineStr">
        <is>
          <t>M2</t>
        </is>
      </c>
    </row>
    <row r="13">
      <c r="A13" s="20" t="inlineStr">
        <is>
          <t>W28</t>
        </is>
      </c>
      <c r="B13" s="20" t="inlineStr">
        <is>
          <t>Jul 10</t>
        </is>
      </c>
      <c r="C13" s="19" t="inlineStr">
        <is>
          <t>Simulation Review (blocks)</t>
        </is>
      </c>
      <c r="D13" s="36" t="inlineStr">
        <is>
          <t>3 Design/Sim</t>
        </is>
      </c>
      <c r="E13" s="19" t="inlineStr">
        <is>
          <t>Per-core cocotb verification</t>
        </is>
      </c>
      <c r="F13" s="35" t="inlineStr">
        <is>
          <t>M3</t>
        </is>
      </c>
    </row>
    <row r="14">
      <c r="A14" s="20" t="inlineStr">
        <is>
          <t>W29</t>
        </is>
      </c>
      <c r="B14" s="20" t="inlineStr">
        <is>
          <t>Jul 17</t>
        </is>
      </c>
      <c r="C14" s="19" t="inlineStr">
        <is>
          <t>Sim Review (top) + GO/NO-GO</t>
        </is>
      </c>
      <c r="D14" s="36" t="inlineStr">
        <is>
          <t>3 Design/Sim</t>
        </is>
      </c>
      <c r="E14" s="19" t="inlineStr">
        <is>
          <t>Full-SoC sim + scheduler demo</t>
        </is>
      </c>
      <c r="F14" s="8" t="inlineStr">
        <is>
          <t>M4 CRITICAL</t>
        </is>
      </c>
    </row>
    <row r="15">
      <c r="A15" s="20" t="inlineStr">
        <is>
          <t>W30</t>
        </is>
      </c>
      <c r="B15" s="20" t="inlineStr">
        <is>
          <t>Jul 24</t>
        </is>
      </c>
      <c r="C15" s="19" t="inlineStr">
        <is>
          <t>Layout Tutorial (DRC/LVS/PEX)</t>
        </is>
      </c>
      <c r="D15" s="37" t="inlineStr">
        <is>
          <t>4 Layout</t>
        </is>
      </c>
      <c r="E15" s="19" t="inlineStr">
        <is>
          <t>Full Librelane flow to GDSII</t>
        </is>
      </c>
      <c r="F15" s="20" t="inlineStr">
        <is>
          <t>—</t>
        </is>
      </c>
    </row>
    <row r="16">
      <c r="A16" s="20" t="inlineStr">
        <is>
          <t>W31</t>
        </is>
      </c>
      <c r="B16" s="20" t="inlineStr">
        <is>
          <t>Jul 31</t>
        </is>
      </c>
      <c r="C16" s="19" t="inlineStr">
        <is>
          <t>DRC Dry-run → GDS to partner</t>
        </is>
      </c>
      <c r="D16" s="37" t="inlineStr">
        <is>
          <t>4 Layout</t>
        </is>
      </c>
      <c r="E16" s="19" t="inlineStr">
        <is>
          <t>First DRC-clean GDSII; STA @50MHz</t>
        </is>
      </c>
      <c r="F16" s="35" t="inlineStr">
        <is>
          <t>M5</t>
        </is>
      </c>
    </row>
    <row r="17">
      <c r="A17" s="20" t="inlineStr">
        <is>
          <t>W32</t>
        </is>
      </c>
      <c r="B17" s="20" t="inlineStr">
        <is>
          <t>Aug 7</t>
        </is>
      </c>
      <c r="C17" s="19" t="inlineStr">
        <is>
          <t>Integration Tutorial</t>
        </is>
      </c>
      <c r="D17" s="37" t="inlineStr">
        <is>
          <t>4 Layout</t>
        </is>
      </c>
      <c r="E17" s="19" t="inlineStr">
        <is>
          <t>Padframe + ESD + top integration</t>
        </is>
      </c>
      <c r="F17" s="20" t="inlineStr">
        <is>
          <t>—</t>
        </is>
      </c>
    </row>
    <row r="18">
      <c r="A18" s="20" t="inlineStr">
        <is>
          <t>W33</t>
        </is>
      </c>
      <c r="B18" s="20" t="inlineStr">
        <is>
          <t>Aug 14</t>
        </is>
      </c>
      <c r="C18" s="19" t="inlineStr">
        <is>
          <t>Layout Review (blocks)</t>
        </is>
      </c>
      <c r="D18" s="37" t="inlineStr">
        <is>
          <t>4 Layout</t>
        </is>
      </c>
      <c r="E18" s="19" t="inlineStr">
        <is>
          <t>drc-triage live; log metrics</t>
        </is>
      </c>
      <c r="F18" s="20" t="inlineStr">
        <is>
          <t>—</t>
        </is>
      </c>
    </row>
    <row r="19">
      <c r="A19" s="20" t="inlineStr">
        <is>
          <t>W34</t>
        </is>
      </c>
      <c r="B19" s="20" t="inlineStr">
        <is>
          <t>Aug 21</t>
        </is>
      </c>
      <c r="C19" s="19" t="inlineStr">
        <is>
          <t>Layout Review (top) + DRC dry-run</t>
        </is>
      </c>
      <c r="D19" s="37" t="inlineStr">
        <is>
          <t>4 Layout</t>
        </is>
      </c>
      <c r="E19" s="19" t="inlineStr">
        <is>
          <t>Top-level DRC + LVS clean; doc-gen</t>
        </is>
      </c>
      <c r="F19" s="35" t="inlineStr">
        <is>
          <t>M6</t>
        </is>
      </c>
    </row>
    <row r="20">
      <c r="A20" s="20" t="inlineStr">
        <is>
          <t>W35</t>
        </is>
      </c>
      <c r="B20" s="20" t="inlineStr">
        <is>
          <t>Aug 28</t>
        </is>
      </c>
      <c r="C20" s="19" t="inlineStr">
        <is>
          <t>Verification + FINAL Submission</t>
        </is>
      </c>
      <c r="D20" s="37" t="inlineStr">
        <is>
          <t>4 Layout</t>
        </is>
      </c>
      <c r="E20" s="19" t="inlineStr">
        <is>
          <t>Final DRC-clean GDSII + metrics</t>
        </is>
      </c>
      <c r="F20" s="6" t="inlineStr">
        <is>
          <t>M7 FINAL</t>
        </is>
      </c>
    </row>
    <row r="21">
      <c r="A21" s="20" t="inlineStr">
        <is>
          <t>TBD</t>
        </is>
      </c>
      <c r="B21" s="20" t="inlineStr">
        <is>
          <t>TBD</t>
        </is>
      </c>
      <c r="C21" s="19" t="inlineStr">
        <is>
          <t>Chips available / test upload</t>
        </is>
      </c>
      <c r="D21" s="38" t="inlineStr">
        <is>
          <t>5 Mfg</t>
        </is>
      </c>
      <c r="E21" s="19" t="inlineStr">
        <is>
          <t>Bring-up test plan ready</t>
        </is>
      </c>
      <c r="F21" s="20" t="inlineStr">
        <is>
          <t>—</t>
        </is>
      </c>
    </row>
  </sheetData>
  <mergeCells count="2">
    <mergeCell ref="A2:F2"/>
    <mergeCell ref="A1:F1"/>
  </mergeCells>
  <printOptions headings="0" gridLines="0"/>
  <pageMargins left="0.3" right="0.3" top="0.4000000000000001" bottom="0.4000000000000001" header="0.5118110236220469" footer="0.5118110236220469"/>
  <pageSetup orientation="landscape" paperSize="1" scale="100" fitToHeight="0" fitToWidth="1" useFirstPageNumber="0" pageOrder="downThenOver" usePrinterDefaults="1" blackAndWhite="0" draft="0" errors="displayed" horizontalDpi="300" verticalDpi="300" copies="1"/>
</worksheet>
</file>

<file path=xl/worksheets/sheet4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E14"/>
  <sheetViews>
    <sheetView showGridLines="0" zoomScale="100" workbookViewId="0">
      <pane ySplit="3" topLeftCell="A4" activePane="bottomLeft" state="frozen"/>
      <selection activeCell="A1" activeCellId="0" sqref="A1:E1"/>
    </sheetView>
  </sheetViews>
  <sheetFormatPr baseColWidth="8" defaultColWidth="8.68333333333333" defaultRowHeight="15" outlineLevelRow="7"/>
  <cols>
    <col width="40" customWidth="1" min="1" max="1"/>
    <col width="12" customWidth="1" min="2" max="2"/>
    <col width="22" customWidth="1" min="3" max="3"/>
    <col width="52" customWidth="1" min="4" max="4"/>
    <col width="14" customWidth="1" min="5" max="5"/>
  </cols>
  <sheetData>
    <row r="1" ht="25.5" customHeight="1">
      <c r="A1" s="1" t="inlineStr">
        <is>
          <t>Risk Register</t>
        </is>
      </c>
    </row>
    <row r="2" ht="15.75" customHeight="1">
      <c r="A2" s="2" t="inlineStr">
        <is>
          <t>Likelihood × calendar trigger × mitigation. Review at every weekly Zoom.</t>
        </is>
      </c>
    </row>
    <row r="3" ht="24" customHeight="1">
      <c r="A3" s="17" t="inlineStr">
        <is>
          <t>Risk</t>
        </is>
      </c>
      <c r="B3" s="17" t="inlineStr">
        <is>
          <t>Likelihood</t>
        </is>
      </c>
      <c r="C3" s="17" t="inlineStr">
        <is>
          <t>Decision Trigger</t>
        </is>
      </c>
      <c r="D3" s="17" t="inlineStr">
        <is>
          <t>Mitigation</t>
        </is>
      </c>
      <c r="E3" s="17" t="inlineStr">
        <is>
          <t>Status</t>
        </is>
      </c>
    </row>
    <row r="4" ht="25.5" customHeight="1">
      <c r="A4" s="19" t="inlineStr">
        <is>
          <t>On-chip SRAM too large for ¼ block</t>
        </is>
      </c>
      <c r="B4" s="7" t="inlineStr">
        <is>
          <t>Low</t>
        </is>
      </c>
      <c r="C4" s="20" t="inlineStr">
        <is>
          <t>Resolved Jul 31</t>
        </is>
      </c>
      <c r="D4" s="19" t="inlineStr">
        <is>
          <t>Measured: GF180 SRAM macros are area-NEGATIVE below ~512 B (4x sram64x8 = 0.402 mm2 vs ~0.252 mm2 of flip-flops). Frozen part uses a 128 B flip-flop scratchpad, sram_kb: 0</t>
        </is>
      </c>
      <c r="E4" s="20" t="inlineStr">
        <is>
          <t>Resolved</t>
        </is>
      </c>
    </row>
    <row r="5" ht="25.5" customHeight="1">
      <c r="A5" s="19" t="inlineStr">
        <is>
          <t>Agent produces invalid config / flow steps</t>
        </is>
      </c>
      <c r="B5" s="7" t="inlineStr">
        <is>
          <t>Medium</t>
        </is>
      </c>
      <c r="C5" s="20" t="inlineStr">
        <is>
          <t>Continuous</t>
        </is>
      </c>
      <c r="D5" s="19" t="inlineStr">
        <is>
          <t>Every output gated by schema validation + log parsing; manual flow path always available</t>
        </is>
      </c>
      <c r="E5" s="20" t="inlineStr">
        <is>
          <t>Mitigated</t>
        </is>
      </c>
    </row>
    <row r="6" ht="25.5" customHeight="1">
      <c r="A6" s="19" t="inlineStr">
        <is>
          <t>FazyRV not characterised on GF180MCU</t>
        </is>
      </c>
      <c r="B6" s="6" t="inlineStr">
        <is>
          <t>Low</t>
        </is>
      </c>
      <c r="C6" s="20" t="inlineStr">
        <is>
          <t>N/A for tapeout</t>
        </is>
      </c>
      <c r="D6" s="19" t="inlineStr">
        <is>
          <t>FazyRV is not in the frozen Block A config (2x SERV). Remains sim-verified in the generator</t>
        </is>
      </c>
      <c r="E6" s="20" t="inlineStr">
        <is>
          <t>Closed</t>
        </is>
      </c>
    </row>
    <row r="7">
      <c r="A7" s="19" t="inlineStr">
        <is>
          <t>Timing not closing @ 50 MHz</t>
        </is>
      </c>
      <c r="B7" s="6" t="inlineStr">
        <is>
          <t>Low</t>
        </is>
      </c>
      <c r="C7" s="20" t="inlineStr">
        <is>
          <t>Resolved Aug 1</t>
        </is>
      </c>
      <c r="D7" s="19" t="inlineStr">
        <is>
          <t>Frozen part runs at 10 MHz (CLOCK_PERIOD 100) with +20.72 ns setup / +0.055 ns hold worst-corner, TNS 0 at all 9 corners. 50 MHz was dropped deliberately per reviewer advice</t>
        </is>
      </c>
      <c r="E7" s="20" t="inlineStr">
        <is>
          <t>Resolved</t>
        </is>
      </c>
    </row>
    <row r="8">
      <c r="A8" s="19" t="inlineStr">
        <is>
          <t>Team bandwidth (3 people, summer)</t>
        </is>
      </c>
      <c r="B8" s="7" t="inlineStr">
        <is>
          <t>Medium</t>
        </is>
      </c>
      <c r="C8" s="20" t="inlineStr">
        <is>
          <t>Weekly Zoom</t>
        </is>
      </c>
      <c r="D8" s="19" t="inlineStr">
        <is>
          <t>Strict scope: PoC committed, all else stretch; cut stretch first</t>
        </is>
      </c>
      <c r="E8" s="20" t="inlineStr">
        <is>
          <t>Watching</t>
        </is>
      </c>
    </row>
    <row r="9">
      <c r="A9" s="19" t="inlineStr">
        <is>
          <t>Simulator miscompile: oss-cad-suite Verilator nightly DFG bug (bug 21)</t>
        </is>
      </c>
      <c r="B9" s="7" t="inlineStr">
        <is>
          <t>High (hit)</t>
        </is>
      </c>
      <c r="C9" s="20" t="inlineStr">
        <is>
          <t>Hit Jul 10 (all-TITAN demo)</t>
        </is>
      </c>
      <c r="D9" s="19" t="inlineStr">
        <is>
          <t>Pinned stable Verilator 5.050 in all sim scripts (VERILATOR_PIN override)</t>
        </is>
      </c>
      <c r="E9" s="20" t="inlineStr">
        <is>
          <t>Mitigated</t>
        </is>
      </c>
    </row>
    <row r="10">
      <c r="A10" s="19" t="inlineStr">
        <is>
          <t>GF180 PDK + SRAM bitcell availability for signoff runs</t>
        </is>
      </c>
      <c r="B10" s="7" t="inlineStr">
        <is>
          <t>Medium</t>
        </is>
      </c>
      <c r="C10" s="20" t="inlineStr">
        <is>
          <t>Week 30 (layout phase start)</t>
        </is>
      </c>
      <c r="D10" s="19" t="inlineStr">
        <is>
          <t>IIC-OSIC-TOOLS container or remote server; extract cell1rw from PDK or upstream OpenRAM</t>
        </is>
      </c>
      <c r="E10" s="20" t="inlineStr">
        <is>
          <t>Watching</t>
        </is>
      </c>
    </row>
    <row r="11">
      <c r="A11" t="inlineStr">
        <is>
          <t>Signed-off GDS predates the bug-31 fix</t>
        </is>
      </c>
      <c r="B11" t="inlineStr">
        <is>
          <t>Closed</t>
        </is>
      </c>
      <c r="C11" t="inlineStr">
        <is>
          <t>Resolved Aug 2</t>
        </is>
      </c>
      <c r="D11" t="inlineStr">
        <is>
          <t>Re-hardened with the fix in place; all decks clean at lower utilization (84.4%) than before</t>
        </is>
      </c>
      <c r="E11" t="inlineStr">
        <is>
          <t>Resolved</t>
        </is>
      </c>
    </row>
    <row r="12">
      <c r="A12" t="inlineStr">
        <is>
          <t>Electrical rule violations not covered by any deck</t>
        </is>
      </c>
      <c r="B12" t="inlineStr">
        <is>
          <t>Medium</t>
        </is>
      </c>
      <c r="C12" t="inlineStr">
        <is>
          <t>Before tapeout</t>
        </is>
      </c>
      <c r="D12" t="inlineStr">
        <is>
          <t>max-cap 27-&gt;0, max-fanout 411-&gt;1, max-slew 2889-&gt;591 (measured against the library 4.0 ns rather than a tighter blanket default). Residual 591 needs per-net work: CTS_MAX_CAP and bufz_8 pad upsizing were both measured to make it worse</t>
        </is>
      </c>
      <c r="E12" t="inlineStr">
        <is>
          <t>Open, reduced</t>
        </is>
      </c>
    </row>
    <row r="13">
      <c r="A13" t="inlineStr">
        <is>
          <t>Hand-modified vendored RTL untested</t>
        </is>
      </c>
      <c r="B13" t="inlineStr">
        <is>
          <t>Medium (hit)</t>
        </is>
      </c>
      <c r="C13" t="inlineStr">
        <is>
          <t>Continuous</t>
        </is>
      </c>
      <c r="D13" t="inlineStr">
        <is>
          <t>UART FIFOs cut 32-&gt;4 entries for area with no test. Closed by tb/mosaic_soc/run_uart.sh, which measures the depth directly and checks TX against the UART DPI log</t>
        </is>
      </c>
      <c r="E13" t="inlineStr">
        <is>
          <t>Mitigated</t>
        </is>
      </c>
    </row>
    <row r="14">
      <c r="A14" t="inlineStr">
        <is>
          <t>Timing-annotated GLS unavailable with open tools</t>
        </is>
      </c>
      <c r="B14" t="inlineStr">
        <is>
          <t>Certain (hit)</t>
        </is>
      </c>
      <c r="C14" t="inlineStr">
        <is>
          <t>Before tapeout</t>
        </is>
      </c>
      <c r="D14" t="inlineStr">
        <is>
          <t>PDK cell models use ifnone on edge-sensitive specify paths (illegal per IEEE 1364-2005 14.2.6); iverilog and CVC both reject, CVC then segfaults on the full netlist. Functional GLS passes; timing coverage rests on STA at 9 corners</t>
        </is>
      </c>
      <c r="E14" t="inlineStr">
        <is>
          <t>Open - needs commercial simulator</t>
        </is>
      </c>
    </row>
  </sheetData>
  <mergeCells count="2">
    <mergeCell ref="A2:E2"/>
    <mergeCell ref="A1:E1"/>
  </mergeCells>
  <printOptions headings="0" gridLines="0"/>
  <pageMargins left="0.3" right="0.3" top="0.4000000000000001" bottom="0.4000000000000001" header="0.5118110236220469" footer="0.5118110236220469"/>
  <pageSetup orientation="landscape" paperSize="1" scale="100" fitToHeight="0" fitToWidth="1" useFirstPageNumber="0" pageOrder="downThenOver" usePrinterDefaults="1" blackAndWhite="0" draft="0" errors="displayed" horizontalDpi="300" verticalDpi="300" copies="1"/>
</worksheet>
</file>

<file path=xl/worksheets/sheet5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F15"/>
  <sheetViews>
    <sheetView showGridLines="0" zoomScale="100" workbookViewId="0">
      <pane ySplit="3" topLeftCell="A4" activePane="bottomLeft" state="frozen"/>
      <selection activeCell="A1" activeCellId="0" sqref="A1:F1"/>
    </sheetView>
  </sheetViews>
  <sheetFormatPr baseColWidth="8" defaultColWidth="8.68333333333333" defaultRowHeight="15"/>
  <cols>
    <col width="8" customWidth="1" min="1" max="1"/>
    <col width="11" customWidth="1" min="2" max="2"/>
    <col width="12" customWidth="1" min="3" max="3"/>
    <col width="40" customWidth="1" min="4" max="4"/>
    <col width="30" customWidth="1" min="5" max="5"/>
    <col width="40" customWidth="1" min="6" max="6"/>
  </cols>
  <sheetData>
    <row r="1" ht="25.5" customHeight="1">
      <c r="A1" s="1" t="inlineStr">
        <is>
          <t>Weekly Report Log</t>
        </is>
      </c>
    </row>
    <row r="2" ht="15.75" customHeight="1">
      <c r="A2" s="2" t="inlineStr">
        <is>
          <t>Organisers require a report every Wednesday. Log submission + 3-line summary here.</t>
        </is>
      </c>
    </row>
    <row r="3" ht="24" customHeight="1">
      <c r="A3" s="39" t="inlineStr">
        <is>
          <t>Week</t>
        </is>
      </c>
      <c r="B3" s="39" t="inlineStr">
        <is>
          <t>Wed Date</t>
        </is>
      </c>
      <c r="C3" s="39" t="inlineStr">
        <is>
          <t>Submitted?</t>
        </is>
      </c>
      <c r="D3" s="39" t="inlineStr">
        <is>
          <t>Done this week</t>
        </is>
      </c>
      <c r="E3" s="39" t="inlineStr">
        <is>
          <t>Blockers</t>
        </is>
      </c>
      <c r="F3" s="39" t="inlineStr">
        <is>
          <t>Next week</t>
        </is>
      </c>
    </row>
    <row r="4" ht="30" customHeight="1">
      <c r="A4" s="18" t="inlineStr">
        <is>
          <t>W24</t>
        </is>
      </c>
      <c r="B4" s="20" t="inlineStr">
        <is>
          <t>Jun 17</t>
        </is>
      </c>
      <c r="C4" s="20" t="n"/>
      <c r="D4" s="19" t="n"/>
      <c r="E4" s="19" t="n"/>
      <c r="F4" s="19" t="n"/>
    </row>
    <row r="5" ht="30" customHeight="1">
      <c r="A5" s="18" t="inlineStr">
        <is>
          <t>W25</t>
        </is>
      </c>
      <c r="B5" s="20" t="inlineStr">
        <is>
          <t>Jun 24</t>
        </is>
      </c>
      <c r="C5" s="20" t="n"/>
      <c r="D5" s="19" t="n"/>
      <c r="E5" s="19" t="n"/>
      <c r="F5" s="19" t="n"/>
    </row>
    <row r="6" ht="30" customHeight="1">
      <c r="A6" s="18" t="inlineStr">
        <is>
          <t>W26</t>
        </is>
      </c>
      <c r="B6" s="20" t="inlineStr">
        <is>
          <t>Jul 1</t>
        </is>
      </c>
      <c r="C6" s="20" t="n"/>
      <c r="D6" s="19" t="inlineStr">
        <is>
          <t>Config-driven multi-core generator sprint: YAML config system, SCI wrappers (serv/fazyrv/ibex), TDU 22/22, iDMA, multi-core sims 3/3 (Jun 27-30)</t>
        </is>
      </c>
      <c r="E6" s="19" t="n"/>
      <c r="F6" s="19" t="n"/>
    </row>
    <row r="7" ht="30" customHeight="1">
      <c r="A7" s="18" t="inlineStr">
        <is>
          <t>W27</t>
        </is>
      </c>
      <c r="B7" s="20" t="inlineStr">
        <is>
          <t>Jul 8</t>
        </is>
      </c>
      <c r="C7" s="20" t="n"/>
      <c r="D7" s="19" t="inlineStr">
        <is>
          <t>Multi-fabric bus (obi/log/floonoc) + wake demo ×3; OpenRAM GF180 port + LibreLane SRAM wiring; oh-my-soc harness (5 skills)</t>
        </is>
      </c>
      <c r="E7" s="19" t="n"/>
      <c r="F7" s="19" t="n"/>
    </row>
    <row r="8" ht="30" customHeight="1">
      <c r="A8" s="18" t="inlineStr">
        <is>
          <t>W28</t>
        </is>
      </c>
      <c r="B8" s="20" t="inlineStr">
        <is>
          <t>Jul 15</t>
        </is>
      </c>
      <c r="C8" s="20" t="n"/>
      <c r="D8" s="19" t="inlineStr">
        <is>
          <t>Production fw on 7-hart PoC EXIT SUCCESS; cv32e40x + all-TITAN 4-core SMP demo ×3 fabrics; bug 21 (Verilator DFG) root-caused, 5.050 pinned; NEW CORES: picorv32 + snitch + cva6(32-bit, sim-only) each sim-verified and running together (mosaic_new_cores.yaml); 18-step regression ALL PASS</t>
        </is>
      </c>
      <c r="E8" s="19" t="n"/>
      <c r="F8" s="19" t="n"/>
    </row>
    <row r="9" ht="30" customHeight="1">
      <c r="A9" s="18" t="inlineStr">
        <is>
          <t>W29</t>
        </is>
      </c>
      <c r="B9" s="20" t="inlineStr">
        <is>
          <t>Jul 22</t>
        </is>
      </c>
      <c r="C9" s="20" t="n"/>
      <c r="D9" s="19" t="n"/>
      <c r="E9" s="19" t="n"/>
      <c r="F9" s="19" t="n"/>
    </row>
    <row r="10" ht="30" customHeight="1">
      <c r="A10" s="18" t="inlineStr">
        <is>
          <t>W30</t>
        </is>
      </c>
      <c r="B10" s="20" t="inlineStr">
        <is>
          <t>Jul 29</t>
        </is>
      </c>
      <c r="C10" s="20" t="n"/>
      <c r="D10" s="19" t="inlineStr">
        <is>
          <t>Area reduction 3.903 -&gt; 1.249 mm2 by measurement; 8 selectable platform knobs; Block A 22-pin macro wrapper; first routed GDS in the Chipathon slot</t>
        </is>
      </c>
      <c r="E10" s="19" t="inlineStr">
        <is>
          <t>DRC/LVS not yet run</t>
        </is>
      </c>
      <c r="F10" s="19" t="inlineStr">
        <is>
          <t>Run the full signoff decks</t>
        </is>
      </c>
    </row>
    <row r="11" ht="30" customHeight="1">
      <c r="A11" s="18" t="inlineStr">
        <is>
          <t>W31</t>
        </is>
      </c>
      <c r="B11" s="20" t="inlineStr">
        <is>
          <t>Aug 5</t>
        </is>
      </c>
      <c r="C11" s="20" t="n"/>
      <c r="D11" s="19" t="inlineStr">
        <is>
          <t>Block A re-hardened with the bug-31 fix: all decks clean, max-cap 27-&gt;0, max-fanout 411-&gt;1, max-slew 2889-&gt;591. RTL frozen + tagged rtl-freeze-blocka-v2. Gate-level simulation on the routed netlist passes (12 399 cycles vs RTL 12 400). UART bring-up test added</t>
        </is>
      </c>
      <c r="E11" s="19" t="inlineStr">
        <is>
          <t>Timing-annotated GLS blocked: PDK models use illegal ifnone edge paths (IEEE 1364-2005 14.2.6) and CVC segfaults at this scale; 591 max-slew violations remain</t>
        </is>
      </c>
      <c r="F11" s="19" t="inlineStr">
        <is>
          <t>Per-net slew work; consider a commercial simulator for SDF GLS</t>
        </is>
      </c>
    </row>
    <row r="12" ht="30" customHeight="1">
      <c r="A12" s="18" t="inlineStr">
        <is>
          <t>W32</t>
        </is>
      </c>
      <c r="B12" s="20" t="inlineStr">
        <is>
          <t>Aug 12</t>
        </is>
      </c>
      <c r="C12" s="20" t="n"/>
      <c r="D12" s="19" t="n"/>
      <c r="E12" s="19" t="n"/>
      <c r="F12" s="19" t="n"/>
    </row>
    <row r="13" ht="30" customHeight="1">
      <c r="A13" s="18" t="inlineStr">
        <is>
          <t>W33</t>
        </is>
      </c>
      <c r="B13" s="20" t="inlineStr">
        <is>
          <t>Aug 19</t>
        </is>
      </c>
      <c r="C13" s="20" t="n"/>
      <c r="D13" s="19" t="n"/>
      <c r="E13" s="19" t="n"/>
      <c r="F13" s="19" t="n"/>
    </row>
    <row r="14" ht="30" customHeight="1">
      <c r="A14" s="18" t="inlineStr">
        <is>
          <t>W34</t>
        </is>
      </c>
      <c r="B14" s="20" t="inlineStr">
        <is>
          <t>Aug 26</t>
        </is>
      </c>
      <c r="C14" s="20" t="n"/>
      <c r="D14" s="19" t="n"/>
      <c r="E14" s="19" t="n"/>
      <c r="F14" s="19" t="n"/>
    </row>
    <row r="15" ht="30" customHeight="1">
      <c r="A15" s="18" t="inlineStr">
        <is>
          <t>W35</t>
        </is>
      </c>
      <c r="B15" s="20" t="inlineStr">
        <is>
          <t>Sep 2</t>
        </is>
      </c>
      <c r="C15" s="20" t="n"/>
      <c r="D15" s="19" t="n"/>
      <c r="E15" s="19" t="n"/>
      <c r="F15" s="19" t="n"/>
    </row>
  </sheetData>
  <mergeCells count="2">
    <mergeCell ref="A2:F2"/>
    <mergeCell ref="A1:F1"/>
  </mergeCells>
  <printOptions headings="0" gridLines="0"/>
  <pageMargins left="0.3" right="0.3" top="0.4000000000000001" bottom="0.4000000000000001" header="0.5118110236220469" footer="0.5118110236220469"/>
  <pageSetup orientation="landscape" paperSize="1" scale="100" fitToHeight="0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2026-06-13T21:49:00Z</dcterms:created>
  <dcterms:modified xsi:type="dcterms:W3CDTF">2026-08-03T06:02:49Z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1033-11.1.0.11723</vt:lpwstr>
  </property>
</Properties>
</file>